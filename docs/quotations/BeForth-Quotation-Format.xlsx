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Quote 1" sheetId="1" state="visible" r:id="rId1"/>
    <sheet name="Sheet1" sheetId="2" state="visible" r:id="rId2"/>
    <sheet name="Blank template" sheetId="3" state="visible" r:id="rId3"/>
  </sheets>
  <definedNames>
    <definedName name="valuevx">42.314159</definedName>
    <definedName name="vertex42_copyright" hidden="1">"© 2010-2025 Vertex42 LLC"</definedName>
    <definedName name="vertex42_id" hidden="1">"quote-template.xlsx"</definedName>
    <definedName name="vertex42_title" hidden="1">"Price Quote Template"</definedName>
    <definedName name="_xlnm.Print_Area" localSheetId="0">'Quote 1'!$A$1:$E$48</definedName>
    <definedName name="_xlnm.Print_Area" localSheetId="2">'Blank template'!$A$1:$E$48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₹&quot;\ #,##0.00"/>
    <numFmt numFmtId="165" formatCode="&quot;₹&quot;\ #,##0"/>
  </numFmts>
  <fonts count="73">
    <font>
      <name val="Trebuchet MS"/>
      <family val="2"/>
      <sz val="10"/>
    </font>
    <font>
      <name val="Trebuchet MS"/>
      <family val="2"/>
      <sz val="8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36"/>
      <sz val="11"/>
    </font>
    <font>
      <name val="Calibri"/>
      <family val="2"/>
      <b val="1"/>
      <color indexed="50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18"/>
      <sz val="15"/>
    </font>
    <font>
      <name val="Calibri"/>
      <family val="2"/>
      <b val="1"/>
      <color indexed="18"/>
      <sz val="13"/>
    </font>
    <font>
      <name val="Calibri"/>
      <family val="2"/>
      <b val="1"/>
      <color indexed="18"/>
      <sz val="11"/>
    </font>
    <font>
      <name val="Calibri"/>
      <family val="2"/>
      <color indexed="53"/>
      <sz val="11"/>
    </font>
    <font>
      <name val="Calibri"/>
      <family val="2"/>
      <color indexed="50"/>
      <sz val="11"/>
    </font>
    <font>
      <name val="Calibri"/>
      <family val="2"/>
      <color indexed="59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18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Trebuchet MS"/>
      <family val="2"/>
      <sz val="10"/>
      <scheme val="minor"/>
    </font>
    <font>
      <name val="Trebuchet MS"/>
      <family val="2"/>
      <b val="1"/>
      <sz val="10"/>
      <scheme val="minor"/>
    </font>
    <font>
      <name val="Trebuchet MS"/>
      <family val="2"/>
      <color indexed="9"/>
      <sz val="11"/>
      <scheme val="minor"/>
    </font>
    <font>
      <name val="Trebuchet MS"/>
      <family val="2"/>
      <sz val="11"/>
      <scheme val="minor"/>
    </font>
    <font>
      <name val="Arial"/>
      <family val="1"/>
      <b val="1"/>
      <color indexed="9"/>
      <sz val="11"/>
      <scheme val="major"/>
    </font>
    <font>
      <name val="Arial"/>
      <family val="1"/>
      <b val="1"/>
      <color indexed="9"/>
      <sz val="10"/>
      <scheme val="major"/>
    </font>
    <font>
      <name val="Arial"/>
      <family val="1"/>
      <b val="1"/>
      <color theme="4" tint="0.3999755851924192"/>
      <sz val="26"/>
      <scheme val="major"/>
    </font>
    <font>
      <name val="Arial"/>
      <family val="2"/>
      <color theme="4" tint="-0.249977111117893"/>
      <sz val="20"/>
    </font>
    <font>
      <name val="Arial"/>
      <family val="2"/>
      <color indexed="12"/>
      <sz val="10"/>
      <u val="single"/>
    </font>
    <font>
      <name val="Trebuchet MS"/>
      <family val="2"/>
      <color rgb="FF101010"/>
      <sz val="10"/>
      <scheme val="minor"/>
    </font>
    <font>
      <name val="Trebuchet MS"/>
      <family val="2"/>
      <b val="1"/>
      <i val="1"/>
      <color rgb="FF101010"/>
      <sz val="12"/>
      <scheme val="minor"/>
    </font>
    <font>
      <name val="Trebuchet MS"/>
      <family val="2"/>
      <b val="1"/>
      <color rgb="FF101010"/>
      <sz val="11"/>
      <scheme val="minor"/>
    </font>
    <font>
      <name val="Arial"/>
      <family val="2"/>
      <b val="1"/>
      <color theme="4" tint="-0.249977111117893"/>
      <sz val="24"/>
    </font>
    <font>
      <name val="Trebuchet MS"/>
      <family val="2"/>
      <sz val="10"/>
    </font>
    <font>
      <name val="Trebuchet MS"/>
      <family val="2"/>
      <sz val="12"/>
      <scheme val="minor"/>
    </font>
    <font>
      <name val="Trebuchet MS"/>
      <family val="2"/>
      <b val="1"/>
      <color rgb="FF101010"/>
      <sz val="10"/>
      <scheme val="minor"/>
    </font>
    <font>
      <name val="Plus Jakarta Sans"/>
      <b val="1"/>
      <color rgb="00231F20"/>
      <sz val="24"/>
    </font>
    <font>
      <name val="Plus Jakarta Sans"/>
      <color rgb="00231F20"/>
      <sz val="10"/>
    </font>
    <font>
      <name val="Plus Jakarta Sans"/>
      <b val="1"/>
      <color rgb="00231F20"/>
      <sz val="26"/>
    </font>
    <font>
      <name val="Plus Jakarta Sans"/>
      <b val="1"/>
      <color rgb="00231F20"/>
      <sz val="11"/>
    </font>
    <font>
      <name val="Plus Jakarta Sans"/>
      <color rgb="00231F20"/>
      <sz val="11"/>
    </font>
    <font>
      <name val="Plus Jakarta Sans"/>
      <color rgb="00231F20"/>
      <sz val="12"/>
    </font>
    <font>
      <name val="Plus Jakarta Sans"/>
      <b val="1"/>
      <color rgb="00231F20"/>
      <sz val="10"/>
    </font>
    <font>
      <name val="Plus Jakarta Sans"/>
      <b val="1"/>
      <color rgb="00231F20"/>
      <sz val="12"/>
    </font>
    <font>
      <name val="Plus Jakarta Sans"/>
      <color rgb="005F6571"/>
      <sz val="10"/>
    </font>
    <font>
      <name val="Plus Jakarta Sans"/>
      <b val="1"/>
      <color rgb="005F6571"/>
      <sz val="8.5"/>
    </font>
    <font>
      <name val="Plus Jakarta Sans"/>
      <b val="1"/>
      <color rgb="00231F20"/>
      <sz val="10.5"/>
    </font>
    <font>
      <name val="Plus Jakarta Sans"/>
      <b val="1"/>
      <color rgb="001C75BC"/>
      <sz val="10.5"/>
    </font>
    <font>
      <name val="Plus Jakarta Sans"/>
      <b val="1"/>
      <color rgb="00231F20"/>
      <sz val="9"/>
    </font>
    <font>
      <name val="Plus Jakarta Sans"/>
      <color rgb="00FFFFFF"/>
      <sz val="8"/>
    </font>
    <font>
      <name val="Plus Jakarta Sans"/>
      <b val="1"/>
      <color rgb="00231F20"/>
      <sz val="9.5"/>
    </font>
    <font>
      <name val="Plus Jakarta Sans"/>
      <b val="1"/>
      <color rgb="001C75BC"/>
      <sz val="12"/>
    </font>
    <font>
      <name val="Plus Jakarta Sans"/>
      <color rgb="001C75BC"/>
      <sz val="10"/>
    </font>
    <font>
      <name val="Plus Jakarta Sans"/>
      <sz val="10"/>
    </font>
    <font>
      <name val="Plus Jakarta Sans"/>
      <color indexed="8"/>
      <sz val="11"/>
    </font>
    <font>
      <name val="Plus Jakarta Sans"/>
      <color indexed="9"/>
      <sz val="11"/>
    </font>
    <font>
      <name val="Plus Jakarta Sans"/>
      <color indexed="36"/>
      <sz val="11"/>
    </font>
    <font>
      <name val="Plus Jakarta Sans"/>
      <b val="1"/>
      <color indexed="50"/>
      <sz val="11"/>
    </font>
    <font>
      <name val="Plus Jakarta Sans"/>
      <b val="1"/>
      <color indexed="9"/>
      <sz val="11"/>
    </font>
    <font>
      <name val="Plus Jakarta Sans"/>
      <i val="1"/>
      <color indexed="23"/>
      <sz val="11"/>
    </font>
    <font>
      <name val="Plus Jakarta Sans"/>
      <color indexed="17"/>
      <sz val="11"/>
    </font>
    <font>
      <name val="Plus Jakarta Sans"/>
      <b val="1"/>
      <color indexed="18"/>
      <sz val="15"/>
    </font>
    <font>
      <name val="Plus Jakarta Sans"/>
      <b val="1"/>
      <color indexed="18"/>
      <sz val="13"/>
    </font>
    <font>
      <name val="Plus Jakarta Sans"/>
      <b val="1"/>
      <color indexed="18"/>
      <sz val="11"/>
    </font>
    <font>
      <name val="Plus Jakarta Sans"/>
      <color indexed="12"/>
      <sz val="10"/>
    </font>
    <font>
      <name val="Plus Jakarta Sans"/>
      <color indexed="53"/>
      <sz val="11"/>
    </font>
    <font>
      <name val="Plus Jakarta Sans"/>
      <color indexed="50"/>
      <sz val="11"/>
    </font>
    <font>
      <name val="Plus Jakarta Sans"/>
      <color indexed="59"/>
      <sz val="11"/>
    </font>
    <font>
      <name val="Plus Jakarta Sans"/>
      <b val="1"/>
      <color indexed="63"/>
      <sz val="11"/>
    </font>
    <font>
      <name val="Plus Jakarta Sans"/>
      <b val="1"/>
      <color indexed="18"/>
      <sz val="18"/>
    </font>
    <font>
      <name val="Plus Jakarta Sans"/>
      <b val="1"/>
      <color indexed="8"/>
      <sz val="11"/>
    </font>
    <font>
      <name val="Plus Jakarta Sans"/>
      <color indexed="10"/>
      <sz val="11"/>
    </font>
    <font>
      <name val="Plus Jakarta Sans"/>
      <sz val="11"/>
    </font>
  </fonts>
  <fills count="23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00D6E7F1"/>
      </patternFill>
    </fill>
  </fills>
  <borders count="4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499984740745262"/>
      </right>
      <top style="thin">
        <color theme="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4"/>
      </left>
      <right/>
      <top style="thin">
        <color indexed="64"/>
      </top>
      <bottom style="thin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/>
      </bottom>
      <diagonal/>
    </border>
    <border>
      <left style="thin">
        <color indexed="64"/>
      </left>
      <right style="thin">
        <color theme="0" tint="-0.499984740745262"/>
      </right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/>
    <border>
      <bottom style="medium">
        <color rgb="001C75BC"/>
      </bottom>
    </border>
    <border>
      <bottom style="thin">
        <color rgb="00C9DAE5"/>
      </bottom>
    </border>
    <border>
      <bottom style="medium">
        <color rgb="00231F20"/>
      </bottom>
    </border>
    <border>
      <bottom style="hair">
        <color rgb="00C9DAE5"/>
      </bottom>
    </border>
    <border>
      <top style="thick">
        <color rgb="001C75BC"/>
      </top>
    </border>
  </borders>
  <cellStyleXfs count="46">
    <xf numFmtId="0" fontId="53" fillId="0" borderId="0"/>
    <xf numFmtId="0" fontId="54" fillId="2" borderId="0"/>
    <xf numFmtId="0" fontId="54" fillId="3" borderId="0"/>
    <xf numFmtId="0" fontId="54" fillId="3" borderId="0"/>
    <xf numFmtId="0" fontId="54" fillId="2" borderId="0"/>
    <xf numFmtId="0" fontId="54" fillId="4" borderId="0"/>
    <xf numFmtId="0" fontId="54" fillId="5" borderId="0"/>
    <xf numFmtId="0" fontId="54" fillId="6" borderId="0"/>
    <xf numFmtId="0" fontId="54" fillId="7" borderId="0"/>
    <xf numFmtId="0" fontId="54" fillId="7" borderId="0"/>
    <xf numFmtId="0" fontId="54" fillId="6" borderId="0"/>
    <xf numFmtId="0" fontId="54" fillId="4" borderId="0"/>
    <xf numFmtId="0" fontId="54" fillId="5" borderId="0"/>
    <xf numFmtId="0" fontId="55" fillId="8" borderId="0"/>
    <xf numFmtId="0" fontId="55" fillId="9" borderId="0"/>
    <xf numFmtId="0" fontId="55" fillId="9" borderId="0"/>
    <xf numFmtId="0" fontId="55" fillId="8" borderId="0"/>
    <xf numFmtId="0" fontId="55" fillId="10" borderId="0"/>
    <xf numFmtId="0" fontId="55" fillId="11" borderId="0"/>
    <xf numFmtId="0" fontId="55" fillId="10" borderId="0"/>
    <xf numFmtId="0" fontId="55" fillId="12" borderId="0"/>
    <xf numFmtId="0" fontId="55" fillId="9" borderId="0"/>
    <xf numFmtId="0" fontId="55" fillId="13" borderId="0"/>
    <xf numFmtId="0" fontId="55" fillId="14" borderId="0"/>
    <xf numFmtId="0" fontId="55" fillId="15" borderId="0"/>
    <xf numFmtId="0" fontId="56" fillId="16" borderId="0"/>
    <xf numFmtId="0" fontId="57" fillId="17" borderId="1"/>
    <xf numFmtId="0" fontId="58" fillId="18" borderId="2"/>
    <xf numFmtId="0" fontId="59" fillId="0" borderId="0"/>
    <xf numFmtId="0" fontId="60" fillId="19" borderId="0"/>
    <xf numFmtId="0" fontId="61" fillId="0" borderId="3"/>
    <xf numFmtId="0" fontId="62" fillId="0" borderId="4"/>
    <xf numFmtId="0" fontId="63" fillId="0" borderId="5"/>
    <xf numFmtId="0" fontId="63" fillId="0" borderId="0"/>
    <xf numFmtId="0" fontId="64" fillId="0" borderId="0" applyAlignment="1" applyProtection="1">
      <alignment vertical="top"/>
      <protection locked="0" hidden="0"/>
    </xf>
    <xf numFmtId="0" fontId="65" fillId="11" borderId="1"/>
    <xf numFmtId="0" fontId="66" fillId="0" borderId="6"/>
    <xf numFmtId="0" fontId="67" fillId="5" borderId="0"/>
    <xf numFmtId="0" fontId="53" fillId="5" borderId="7"/>
    <xf numFmtId="0" fontId="68" fillId="17" borderId="8"/>
    <xf numFmtId="0" fontId="69" fillId="0" borderId="0"/>
    <xf numFmtId="0" fontId="70" fillId="0" borderId="9"/>
    <xf numFmtId="0" fontId="71" fillId="0" borderId="0"/>
    <xf numFmtId="0" fontId="72" fillId="0" borderId="0"/>
    <xf numFmtId="44" fontId="53" fillId="0" borderId="0"/>
    <xf numFmtId="9" fontId="53" fillId="0" borderId="0"/>
  </cellStyleXfs>
  <cellXfs count="176">
    <xf numFmtId="0" fontId="0" fillId="0" borderId="0" pivotButton="0" quotePrefix="0" xfId="0"/>
    <xf numFmtId="0" fontId="20" fillId="0" borderId="0" pivotButton="0" quotePrefix="0" xfId="0"/>
    <xf numFmtId="0" fontId="24" fillId="21" borderId="0" applyAlignment="1" pivotButton="0" quotePrefix="0" xfId="0">
      <alignment horizontal="left" vertical="center"/>
    </xf>
    <xf numFmtId="0" fontId="20" fillId="0" borderId="0" applyAlignment="1" pivotButton="0" quotePrefix="0" xfId="0">
      <alignment vertical="center"/>
    </xf>
    <xf numFmtId="0" fontId="29" fillId="0" borderId="0" applyAlignment="1" applyProtection="1" pivotButton="0" quotePrefix="0" xfId="0">
      <alignment vertical="center"/>
      <protection locked="0" hidden="0"/>
    </xf>
    <xf numFmtId="0" fontId="29" fillId="0" borderId="0" applyAlignment="1" pivotButton="0" quotePrefix="0" xfId="0">
      <alignment vertical="center"/>
    </xf>
    <xf numFmtId="0" fontId="20" fillId="0" borderId="11" applyAlignment="1" pivotButton="0" quotePrefix="0" xfId="0">
      <alignment vertical="center"/>
    </xf>
    <xf numFmtId="0" fontId="22" fillId="0" borderId="11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43" fontId="20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0" fillId="0" borderId="10" applyAlignment="1" pivotButton="0" quotePrefix="0" xfId="0">
      <alignment vertical="center"/>
    </xf>
    <xf numFmtId="43" fontId="20" fillId="0" borderId="13" applyAlignment="1" applyProtection="1" pivotButton="0" quotePrefix="0" xfId="0">
      <alignment vertical="center"/>
      <protection locked="0" hidden="0"/>
    </xf>
    <xf numFmtId="0" fontId="31" fillId="0" borderId="0" applyAlignment="1" pivotButton="0" quotePrefix="0" xfId="0">
      <alignment vertical="center"/>
    </xf>
    <xf numFmtId="0" fontId="20" fillId="0" borderId="0" applyAlignment="1" applyProtection="1" pivotButton="0" quotePrefix="0" xfId="0">
      <alignment vertical="center"/>
      <protection locked="0" hidden="0"/>
    </xf>
    <xf numFmtId="0" fontId="29" fillId="0" borderId="0" applyAlignment="1" pivotButton="0" quotePrefix="0" xfId="0">
      <alignment horizontal="right" vertical="center"/>
    </xf>
    <xf numFmtId="14" fontId="20" fillId="0" borderId="12" applyAlignment="1" applyProtection="1" pivotButton="0" quotePrefix="0" xfId="0">
      <alignment horizontal="center" vertical="center"/>
      <protection locked="0" hidden="0"/>
    </xf>
    <xf numFmtId="0" fontId="20" fillId="0" borderId="12" applyAlignment="1" applyProtection="1" pivotButton="0" quotePrefix="0" xfId="0">
      <alignment horizontal="center" vertical="center"/>
      <protection locked="0" hidden="0"/>
    </xf>
    <xf numFmtId="14" fontId="20" fillId="0" borderId="12" applyAlignment="1" pivotButton="0" quotePrefix="0" xfId="0">
      <alignment horizontal="center" vertical="center"/>
    </xf>
    <xf numFmtId="164" fontId="20" fillId="0" borderId="11" applyAlignment="1" pivotButton="0" quotePrefix="0" xfId="0">
      <alignment vertical="center"/>
    </xf>
    <xf numFmtId="0" fontId="20" fillId="0" borderId="14" applyAlignment="1" applyProtection="1" pivotButton="0" quotePrefix="0" xfId="0">
      <alignment horizontal="center" vertical="center"/>
      <protection locked="0" hidden="0"/>
    </xf>
    <xf numFmtId="0" fontId="24" fillId="21" borderId="14" applyAlignment="1" pivotButton="0" quotePrefix="0" xfId="0">
      <alignment horizontal="center" vertical="center"/>
    </xf>
    <xf numFmtId="0" fontId="24" fillId="21" borderId="15" applyAlignment="1" pivotButton="0" quotePrefix="0" xfId="0">
      <alignment horizontal="left" vertical="center"/>
    </xf>
    <xf numFmtId="0" fontId="0" fillId="0" borderId="14" applyAlignment="1" pivotButton="0" quotePrefix="0" xfId="0">
      <alignment horizontal="left" vertical="center" wrapText="1"/>
    </xf>
    <xf numFmtId="0" fontId="20" fillId="0" borderId="14" applyAlignment="1" applyProtection="1" pivotButton="0" quotePrefix="0" xfId="0">
      <alignment horizontal="left" vertical="top"/>
      <protection locked="0" hidden="0"/>
    </xf>
    <xf numFmtId="0" fontId="20" fillId="0" borderId="14" pivotButton="0" quotePrefix="0" xfId="0"/>
    <xf numFmtId="164" fontId="20" fillId="0" borderId="0" applyAlignment="1" applyProtection="1" pivotButton="0" quotePrefix="0" xfId="44">
      <alignment vertical="center"/>
      <protection locked="0" hidden="0"/>
    </xf>
    <xf numFmtId="164" fontId="20" fillId="0" borderId="0" applyAlignment="1" pivotButton="0" quotePrefix="0" xfId="44">
      <alignment vertical="center"/>
    </xf>
    <xf numFmtId="164" fontId="29" fillId="0" borderId="0" applyAlignment="1" pivotButton="0" quotePrefix="0" xfId="44">
      <alignment vertical="center"/>
    </xf>
    <xf numFmtId="164" fontId="24" fillId="21" borderId="14" applyAlignment="1" pivotButton="0" quotePrefix="0" xfId="44">
      <alignment horizontal="center" vertical="center"/>
    </xf>
    <xf numFmtId="164" fontId="20" fillId="0" borderId="0" pivotButton="0" quotePrefix="0" xfId="44"/>
    <xf numFmtId="0" fontId="20" fillId="0" borderId="0" applyAlignment="1" pivotButton="0" quotePrefix="0" xfId="0">
      <alignment horizontal="right"/>
    </xf>
    <xf numFmtId="0" fontId="23" fillId="0" borderId="0" applyAlignment="1" pivotButton="0" quotePrefix="0" xfId="0">
      <alignment vertical="center" wrapText="1"/>
    </xf>
    <xf numFmtId="0" fontId="31" fillId="0" borderId="0" applyAlignment="1" pivotButton="0" quotePrefix="0" xfId="0">
      <alignment vertical="center" wrapText="1"/>
    </xf>
    <xf numFmtId="165" fontId="21" fillId="20" borderId="0" applyAlignment="1" pivotButton="0" quotePrefix="0" xfId="0">
      <alignment vertical="center" wrapText="1"/>
    </xf>
    <xf numFmtId="0" fontId="20" fillId="0" borderId="0" applyAlignment="1" pivotButton="0" quotePrefix="0" xfId="0">
      <alignment vertical="center" wrapText="1"/>
    </xf>
    <xf numFmtId="164" fontId="20" fillId="0" borderId="14" applyAlignment="1" applyProtection="1" pivotButton="0" quotePrefix="0" xfId="44">
      <alignment horizontal="center" vertical="center"/>
      <protection locked="0" hidden="0"/>
    </xf>
    <xf numFmtId="164" fontId="0" fillId="0" borderId="14" applyAlignment="1" applyProtection="1" pivotButton="0" quotePrefix="0" xfId="44">
      <alignment horizontal="center" vertical="center"/>
      <protection locked="0" hidden="0"/>
    </xf>
    <xf numFmtId="164" fontId="0" fillId="0" borderId="14" applyAlignment="1" pivotButton="0" quotePrefix="0" xfId="44">
      <alignment horizontal="center" vertical="center"/>
    </xf>
    <xf numFmtId="165" fontId="21" fillId="0" borderId="0" applyAlignment="1" pivotButton="0" quotePrefix="0" xfId="0">
      <alignment vertical="center" wrapText="1"/>
    </xf>
    <xf numFmtId="0" fontId="25" fillId="21" borderId="24" applyAlignment="1" pivotButton="0" quotePrefix="0" xfId="0">
      <alignment horizontal="left" vertical="center"/>
    </xf>
    <xf numFmtId="164" fontId="25" fillId="21" borderId="25" applyAlignment="1" pivotButton="0" quotePrefix="0" xfId="44">
      <alignment horizontal="left" vertical="center"/>
    </xf>
    <xf numFmtId="0" fontId="0" fillId="0" borderId="26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164" fontId="0" fillId="0" borderId="14" applyAlignment="1" pivotButton="0" quotePrefix="0" xfId="44">
      <alignment horizontal="left" vertical="center"/>
    </xf>
    <xf numFmtId="164" fontId="20" fillId="0" borderId="11" applyAlignment="1" pivotButton="0" quotePrefix="0" xfId="0">
      <alignment horizontal="center" vertical="center"/>
    </xf>
    <xf numFmtId="9" fontId="20" fillId="0" borderId="0" pivotButton="0" quotePrefix="0" xfId="45"/>
    <xf numFmtId="9" fontId="20" fillId="0" borderId="0" applyAlignment="1" pivotButton="0" quotePrefix="0" xfId="45">
      <alignment vertical="center"/>
    </xf>
    <xf numFmtId="9" fontId="29" fillId="0" borderId="0" applyAlignment="1" pivotButton="0" quotePrefix="0" xfId="45">
      <alignment vertical="center"/>
    </xf>
    <xf numFmtId="9" fontId="24" fillId="21" borderId="14" applyAlignment="1" pivotButton="0" quotePrefix="0" xfId="45">
      <alignment horizontal="center" vertical="center"/>
    </xf>
    <xf numFmtId="9" fontId="20" fillId="0" borderId="14" applyAlignment="1" applyProtection="1" pivotButton="0" quotePrefix="0" xfId="45">
      <alignment horizontal="center" vertical="center"/>
      <protection locked="0" hidden="0"/>
    </xf>
    <xf numFmtId="9" fontId="22" fillId="0" borderId="11" applyAlignment="1" pivotButton="0" quotePrefix="0" xfId="45">
      <alignment vertical="center"/>
    </xf>
    <xf numFmtId="9" fontId="22" fillId="0" borderId="0" applyAlignment="1" pivotButton="0" quotePrefix="0" xfId="45">
      <alignment vertical="center"/>
    </xf>
    <xf numFmtId="9" fontId="23" fillId="0" borderId="0" applyAlignment="1" pivotButton="0" quotePrefix="0" xfId="45">
      <alignment vertical="center"/>
    </xf>
    <xf numFmtId="9" fontId="23" fillId="0" borderId="0" applyAlignment="1" pivotButton="0" quotePrefix="0" xfId="45">
      <alignment vertical="center" wrapText="1"/>
    </xf>
    <xf numFmtId="9" fontId="0" fillId="0" borderId="0" pivotButton="0" quotePrefix="0" xfId="45"/>
    <xf numFmtId="0" fontId="20" fillId="0" borderId="12" applyAlignment="1" applyProtection="1" pivotButton="0" quotePrefix="0" xfId="0">
      <alignment horizontal="left" vertical="center"/>
      <protection locked="0" hidden="0"/>
    </xf>
    <xf numFmtId="9" fontId="20" fillId="0" borderId="0" applyAlignment="1" pivotButton="0" quotePrefix="0" xfId="45">
      <alignment horizontal="center" vertical="center"/>
    </xf>
    <xf numFmtId="0" fontId="34" fillId="0" borderId="0" applyAlignment="1" pivotButton="0" quotePrefix="0" xfId="0">
      <alignment vertical="center"/>
    </xf>
    <xf numFmtId="164" fontId="0" fillId="0" borderId="14" applyAlignment="1" pivotButton="0" quotePrefix="0" xfId="44">
      <alignment horizontal="left" vertical="center" wrapText="1"/>
    </xf>
    <xf numFmtId="0" fontId="29" fillId="0" borderId="0" applyAlignment="1" applyProtection="1" pivotButton="0" quotePrefix="0" xfId="0">
      <alignment vertical="center" wrapText="1"/>
      <protection locked="0" hidden="0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right"/>
    </xf>
    <xf numFmtId="0" fontId="32" fillId="0" borderId="0" applyAlignment="1" applyProtection="1" pivotButton="0" quotePrefix="0" xfId="0">
      <alignment horizontal="left" vertical="center"/>
      <protection locked="0" hidden="0"/>
    </xf>
    <xf numFmtId="0" fontId="27" fillId="0" borderId="0" applyAlignment="1" applyProtection="1" pivotButton="0" quotePrefix="0" xfId="0">
      <alignment horizontal="left" vertical="center"/>
      <protection locked="0" hidden="0"/>
    </xf>
    <xf numFmtId="0" fontId="29" fillId="0" borderId="22" applyAlignment="1" applyProtection="1" pivotButton="0" quotePrefix="0" xfId="0">
      <alignment horizontal="left" vertical="center" wrapText="1"/>
      <protection locked="0" hidden="0"/>
    </xf>
    <xf numFmtId="0" fontId="35" fillId="0" borderId="23" applyAlignment="1" applyProtection="1" pivotButton="0" quotePrefix="0" xfId="0">
      <alignment horizontal="left" vertical="center" wrapText="1"/>
      <protection locked="0" hidden="0"/>
    </xf>
    <xf numFmtId="0" fontId="29" fillId="0" borderId="22" applyAlignment="1" applyProtection="1" pivotButton="0" quotePrefix="0" xfId="0">
      <alignment horizontal="left" vertical="center"/>
      <protection locked="0" hidden="0"/>
    </xf>
    <xf numFmtId="0" fontId="29" fillId="0" borderId="23" applyAlignment="1" applyProtection="1" pivotButton="0" quotePrefix="0" xfId="0">
      <alignment horizontal="left" vertical="center"/>
      <protection locked="0" hidden="0"/>
    </xf>
    <xf numFmtId="0" fontId="25" fillId="21" borderId="27" applyAlignment="1" pivotButton="0" quotePrefix="0" xfId="0">
      <alignment horizontal="left" vertical="center"/>
    </xf>
    <xf numFmtId="0" fontId="25" fillId="21" borderId="25" applyAlignment="1" pivotButton="0" quotePrefix="0" xfId="0">
      <alignment horizontal="left" vertical="center"/>
    </xf>
    <xf numFmtId="0" fontId="20" fillId="0" borderId="22" applyAlignment="1" pivotButton="0" quotePrefix="0" xfId="0">
      <alignment horizontal="left" vertical="center" wrapText="1"/>
    </xf>
    <xf numFmtId="0" fontId="20" fillId="0" borderId="23" applyAlignment="1" pivotButton="0" quotePrefix="0" xfId="0">
      <alignment horizontal="left" vertical="center" wrapText="1"/>
    </xf>
    <xf numFmtId="0" fontId="25" fillId="21" borderId="15" applyAlignment="1" pivotButton="0" quotePrefix="0" xfId="0">
      <alignment horizontal="left" vertical="center"/>
    </xf>
    <xf numFmtId="0" fontId="25" fillId="21" borderId="21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/>
    </xf>
    <xf numFmtId="0" fontId="29" fillId="0" borderId="0" applyAlignment="1" applyProtection="1" pivotButton="0" quotePrefix="0" xfId="0">
      <alignment horizontal="left" vertical="top"/>
      <protection locked="0" hidden="0"/>
    </xf>
    <xf numFmtId="0" fontId="29" fillId="0" borderId="0" applyAlignment="1" pivotButton="0" quotePrefix="0" xfId="0">
      <alignment horizontal="center"/>
    </xf>
    <xf numFmtId="0" fontId="20" fillId="0" borderId="0" applyAlignment="1" applyProtection="1" pivotButton="0" quotePrefix="0" xfId="0">
      <alignment horizontal="center"/>
      <protection locked="0" hidden="0"/>
    </xf>
    <xf numFmtId="0" fontId="20" fillId="0" borderId="20" applyAlignment="1" pivotButton="0" quotePrefix="0" xfId="0">
      <alignment horizontal="left" vertical="center" wrapText="1"/>
    </xf>
    <xf numFmtId="0" fontId="20" fillId="0" borderId="18" applyAlignment="1" pivotButton="0" quotePrefix="0" xfId="0">
      <alignment horizontal="left" vertical="center" wrapText="1"/>
    </xf>
    <xf numFmtId="0" fontId="34" fillId="0" borderId="16" applyAlignment="1" pivotButton="0" quotePrefix="0" xfId="0">
      <alignment horizontal="center" vertical="center"/>
    </xf>
    <xf numFmtId="0" fontId="29" fillId="0" borderId="19" applyAlignment="1" applyProtection="1" pivotButton="0" quotePrefix="0" xfId="0">
      <alignment horizontal="left" vertical="center" wrapText="1"/>
      <protection locked="0" hidden="0"/>
    </xf>
    <xf numFmtId="0" fontId="29" fillId="0" borderId="17" applyAlignment="1" applyProtection="1" pivotButton="0" quotePrefix="0" xfId="0">
      <alignment horizontal="left" vertical="center" wrapText="1"/>
      <protection locked="0" hidden="0"/>
    </xf>
    <xf numFmtId="0" fontId="29" fillId="0" borderId="20" applyAlignment="1" applyProtection="1" pivotButton="0" quotePrefix="0" xfId="0">
      <alignment horizontal="left" vertical="center" wrapText="1"/>
      <protection locked="0" hidden="0"/>
    </xf>
    <xf numFmtId="0" fontId="35" fillId="0" borderId="18" applyAlignment="1" applyProtection="1" pivotButton="0" quotePrefix="0" xfId="0">
      <alignment horizontal="left" vertical="center" wrapText="1"/>
      <protection locked="0" hidden="0"/>
    </xf>
    <xf numFmtId="0" fontId="35" fillId="0" borderId="0" applyAlignment="1" applyProtection="1" pivotButton="0" quotePrefix="0" xfId="0">
      <alignment horizontal="left" vertical="center"/>
      <protection locked="0" hidden="0"/>
    </xf>
    <xf numFmtId="0" fontId="29" fillId="0" borderId="0" applyAlignment="1" applyProtection="1" pivotButton="0" quotePrefix="0" xfId="0">
      <alignment horizontal="left" vertical="center"/>
      <protection locked="0" hidden="0"/>
    </xf>
    <xf numFmtId="0" fontId="25" fillId="21" borderId="15" applyAlignment="1" pivotButton="0" quotePrefix="0" xfId="0">
      <alignment horizontal="center" vertical="center"/>
    </xf>
    <xf numFmtId="0" fontId="25" fillId="21" borderId="21" applyAlignment="1" pivotButton="0" quotePrefix="0" xfId="0">
      <alignment horizontal="center" vertical="center"/>
    </xf>
    <xf numFmtId="0" fontId="37" fillId="0" borderId="0" pivotButton="0" quotePrefix="0" xfId="0"/>
    <xf numFmtId="164" fontId="37" fillId="0" borderId="0" pivotButton="0" quotePrefix="0" xfId="44"/>
    <xf numFmtId="0" fontId="36" fillId="0" borderId="34" applyAlignment="1" applyProtection="1" pivotButton="0" quotePrefix="0" xfId="0">
      <alignment horizontal="left" vertical="center"/>
      <protection locked="0" hidden="0"/>
    </xf>
    <xf numFmtId="0" fontId="37" fillId="0" borderId="34" applyProtection="1" pivotButton="0" quotePrefix="0" xfId="0">
      <protection locked="0" hidden="0"/>
    </xf>
    <xf numFmtId="0" fontId="37" fillId="0" borderId="34" pivotButton="0" quotePrefix="0" xfId="0"/>
    <xf numFmtId="0" fontId="38" fillId="0" borderId="35" applyAlignment="1" pivotButton="0" quotePrefix="0" xfId="0">
      <alignment horizontal="right"/>
    </xf>
    <xf numFmtId="0" fontId="37" fillId="0" borderId="35" pivotButton="0" quotePrefix="0" xfId="0"/>
    <xf numFmtId="0" fontId="37" fillId="0" borderId="0" applyAlignment="1" pivotButton="0" quotePrefix="0" xfId="0">
      <alignment vertical="center"/>
    </xf>
    <xf numFmtId="0" fontId="44" fillId="0" borderId="34" applyAlignment="1" applyProtection="1" pivotButton="0" quotePrefix="0" xfId="0">
      <alignment vertical="center"/>
      <protection locked="0" hidden="0"/>
    </xf>
    <xf numFmtId="164" fontId="37" fillId="0" borderId="34" applyAlignment="1" applyProtection="1" pivotButton="0" quotePrefix="0" xfId="44">
      <alignment vertical="center"/>
      <protection locked="0" hidden="0"/>
    </xf>
    <xf numFmtId="164" fontId="37" fillId="0" borderId="34" applyAlignment="1" pivotButton="0" quotePrefix="0" xfId="44">
      <alignment vertical="center"/>
    </xf>
    <xf numFmtId="0" fontId="45" fillId="0" borderId="34" applyAlignment="1" pivotButton="0" quotePrefix="0" xfId="0">
      <alignment horizontal="right" vertical="center"/>
    </xf>
    <xf numFmtId="14" fontId="46" fillId="0" borderId="36" applyAlignment="1" applyProtection="1" pivotButton="0" quotePrefix="0" xfId="0">
      <alignment horizontal="center" vertical="center"/>
      <protection locked="0" hidden="0"/>
    </xf>
    <xf numFmtId="0" fontId="47" fillId="0" borderId="36" applyAlignment="1" applyProtection="1" pivotButton="0" quotePrefix="0" xfId="0">
      <alignment horizontal="center" vertical="center"/>
      <protection locked="0" hidden="0"/>
    </xf>
    <xf numFmtId="14" fontId="46" fillId="0" borderId="36" applyAlignment="1" pivotButton="0" quotePrefix="0" xfId="0">
      <alignment horizontal="center" vertical="center"/>
    </xf>
    <xf numFmtId="0" fontId="37" fillId="0" borderId="37" pivotButton="0" quotePrefix="0" xfId="0"/>
    <xf numFmtId="164" fontId="37" fillId="0" borderId="37" applyAlignment="1" pivotButton="0" quotePrefix="0" xfId="44">
      <alignment vertical="center"/>
    </xf>
    <xf numFmtId="0" fontId="48" fillId="22" borderId="34" applyAlignment="1" pivotButton="0" quotePrefix="0" xfId="0">
      <alignment horizontal="left" vertical="center"/>
    </xf>
    <xf numFmtId="164" fontId="48" fillId="22" borderId="34" applyAlignment="1" pivotButton="0" quotePrefix="0" xfId="44">
      <alignment vertical="center"/>
    </xf>
    <xf numFmtId="0" fontId="43" fillId="0" borderId="34" applyAlignment="1" pivotButton="0" quotePrefix="0" xfId="0">
      <alignment vertical="center"/>
    </xf>
    <xf numFmtId="0" fontId="37" fillId="0" borderId="34" applyAlignment="1" pivotButton="0" quotePrefix="0" xfId="0">
      <alignment vertical="center"/>
    </xf>
    <xf numFmtId="0" fontId="44" fillId="0" borderId="34" applyAlignment="1" pivotButton="0" quotePrefix="0" xfId="0">
      <alignment vertical="center"/>
    </xf>
    <xf numFmtId="0" fontId="48" fillId="22" borderId="37" applyAlignment="1" pivotButton="0" quotePrefix="0" xfId="0">
      <alignment horizontal="left" vertical="center"/>
    </xf>
    <xf numFmtId="164" fontId="48" fillId="22" borderId="37" applyAlignment="1" pivotButton="0" quotePrefix="0" xfId="44">
      <alignment horizontal="center" vertical="center"/>
    </xf>
    <xf numFmtId="0" fontId="48" fillId="22" borderId="37" applyAlignment="1" pivotButton="0" quotePrefix="0" xfId="0">
      <alignment horizontal="center" vertical="center"/>
    </xf>
    <xf numFmtId="0" fontId="37" fillId="0" borderId="38" applyAlignment="1" pivotButton="0" quotePrefix="0" xfId="0">
      <alignment vertical="center" wrapText="1"/>
    </xf>
    <xf numFmtId="164" fontId="37" fillId="0" borderId="38" applyAlignment="1" applyProtection="1" pivotButton="0" quotePrefix="0" xfId="44">
      <alignment horizontal="center" vertical="center"/>
      <protection locked="0" hidden="0"/>
    </xf>
    <xf numFmtId="0" fontId="37" fillId="0" borderId="38" applyAlignment="1" applyProtection="1" pivotButton="0" quotePrefix="0" xfId="0">
      <alignment horizontal="center" vertical="center"/>
      <protection locked="0" hidden="0"/>
    </xf>
    <xf numFmtId="164" fontId="42" fillId="0" borderId="38" applyAlignment="1" applyProtection="1" pivotButton="0" quotePrefix="0" xfId="44">
      <alignment horizontal="center" vertical="center"/>
      <protection locked="0" hidden="0"/>
    </xf>
    <xf numFmtId="164" fontId="37" fillId="0" borderId="38" applyAlignment="1" pivotButton="0" quotePrefix="0" xfId="44">
      <alignment horizontal="left" vertical="center"/>
    </xf>
    <xf numFmtId="164" fontId="37" fillId="0" borderId="38" applyAlignment="1" pivotButton="0" quotePrefix="0" xfId="44">
      <alignment horizontal="left" vertical="center" wrapText="1"/>
    </xf>
    <xf numFmtId="0" fontId="37" fillId="0" borderId="38" applyAlignment="1" pivotButton="0" quotePrefix="0" xfId="0">
      <alignment horizontal="left" vertical="center" wrapText="1"/>
    </xf>
    <xf numFmtId="0" fontId="49" fillId="0" borderId="34" applyAlignment="1" pivotButton="0" quotePrefix="0" xfId="0">
      <alignment vertical="center"/>
    </xf>
    <xf numFmtId="0" fontId="44" fillId="0" borderId="38" applyAlignment="1" pivotButton="0" quotePrefix="0" xfId="0">
      <alignment vertical="center"/>
    </xf>
    <xf numFmtId="164" fontId="37" fillId="0" borderId="38" applyAlignment="1" pivotButton="0" quotePrefix="0" xfId="0">
      <alignment horizontal="center" vertical="center"/>
    </xf>
    <xf numFmtId="0" fontId="40" fillId="0" borderId="34" applyAlignment="1" pivotButton="0" quotePrefix="0" xfId="0">
      <alignment vertical="center"/>
    </xf>
    <xf numFmtId="9" fontId="37" fillId="0" borderId="38" applyAlignment="1" pivotButton="0" quotePrefix="0" xfId="45">
      <alignment horizontal="center" vertical="center"/>
    </xf>
    <xf numFmtId="0" fontId="41" fillId="0" borderId="34" applyAlignment="1" pivotButton="0" quotePrefix="0" xfId="0">
      <alignment vertical="center"/>
    </xf>
    <xf numFmtId="43" fontId="37" fillId="0" borderId="38" applyAlignment="1" pivotButton="0" quotePrefix="0" xfId="0">
      <alignment vertical="center"/>
    </xf>
    <xf numFmtId="0" fontId="42" fillId="0" borderId="34" applyAlignment="1" pivotButton="0" quotePrefix="0" xfId="0">
      <alignment vertical="center"/>
    </xf>
    <xf numFmtId="0" fontId="37" fillId="0" borderId="34" applyAlignment="1" applyProtection="1" pivotButton="0" quotePrefix="0" xfId="0">
      <alignment vertical="center" wrapText="1"/>
      <protection locked="0" hidden="0"/>
    </xf>
    <xf numFmtId="43" fontId="37" fillId="0" borderId="38" applyAlignment="1" applyProtection="1" pivotButton="0" quotePrefix="0" xfId="0">
      <alignment vertical="center"/>
      <protection locked="0" hidden="0"/>
    </xf>
    <xf numFmtId="0" fontId="37" fillId="0" borderId="0" applyAlignment="1" pivotButton="0" quotePrefix="0" xfId="0">
      <alignment vertical="center" wrapText="1"/>
    </xf>
    <xf numFmtId="0" fontId="40" fillId="0" borderId="34" applyAlignment="1" pivotButton="0" quotePrefix="0" xfId="0">
      <alignment vertical="center" wrapText="1"/>
    </xf>
    <xf numFmtId="0" fontId="39" fillId="0" borderId="39" applyAlignment="1" pivotButton="0" quotePrefix="0" xfId="0">
      <alignment horizontal="left" vertical="center" indent="1"/>
    </xf>
    <xf numFmtId="165" fontId="43" fillId="0" borderId="39" applyAlignment="1" pivotButton="0" quotePrefix="0" xfId="0">
      <alignment horizontal="right" vertical="center"/>
    </xf>
    <xf numFmtId="0" fontId="39" fillId="0" borderId="34" applyAlignment="1" pivotButton="0" quotePrefix="0" xfId="0">
      <alignment vertical="center" wrapText="1"/>
    </xf>
    <xf numFmtId="165" fontId="42" fillId="0" borderId="34" applyAlignment="1" pivotButton="0" quotePrefix="0" xfId="0">
      <alignment vertical="center" wrapText="1"/>
    </xf>
    <xf numFmtId="0" fontId="39" fillId="0" borderId="34" applyAlignment="1" pivotButton="0" quotePrefix="0" xfId="0">
      <alignment vertical="center"/>
    </xf>
    <xf numFmtId="0" fontId="37" fillId="0" borderId="34" applyAlignment="1" pivotButton="0" quotePrefix="0" xfId="0">
      <alignment horizontal="right"/>
    </xf>
    <xf numFmtId="0" fontId="48" fillId="22" borderId="34" pivotButton="0" quotePrefix="0" xfId="0"/>
    <xf numFmtId="0" fontId="37" fillId="0" borderId="34" applyAlignment="1" pivotButton="0" quotePrefix="0" xfId="0">
      <alignment horizontal="left" vertical="top" wrapText="1"/>
    </xf>
    <xf numFmtId="0" fontId="37" fillId="0" borderId="34" applyAlignment="1" applyProtection="1" pivotButton="0" quotePrefix="0" xfId="0">
      <alignment horizontal="left" vertical="top" wrapText="1"/>
      <protection locked="0" hidden="0"/>
    </xf>
    <xf numFmtId="0" fontId="37" fillId="0" borderId="34" applyAlignment="1" pivotButton="0" quotePrefix="0" xfId="0">
      <alignment horizontal="left" vertical="center" wrapText="1"/>
    </xf>
    <xf numFmtId="0" fontId="44" fillId="0" borderId="38" applyAlignment="1" applyProtection="1" pivotButton="0" quotePrefix="0" xfId="0">
      <alignment horizontal="left" vertical="top"/>
      <protection locked="0" hidden="0"/>
    </xf>
    <xf numFmtId="0" fontId="50" fillId="0" borderId="38" applyAlignment="1" pivotButton="0" quotePrefix="0" xfId="0">
      <alignment horizontal="left" vertical="center" shrinkToFit="1"/>
    </xf>
    <xf numFmtId="0" fontId="44" fillId="0" borderId="38" pivotButton="0" quotePrefix="0" xfId="0"/>
    <xf numFmtId="0" fontId="44" fillId="0" borderId="34" applyAlignment="1" pivotButton="0" quotePrefix="0" xfId="0">
      <alignment horizontal="center"/>
    </xf>
    <xf numFmtId="0" fontId="42" fillId="0" borderId="34" applyAlignment="1" applyProtection="1" pivotButton="0" quotePrefix="0" xfId="0">
      <alignment horizontal="center"/>
      <protection locked="0" hidden="0"/>
    </xf>
    <xf numFmtId="0" fontId="51" fillId="0" borderId="39" applyAlignment="1" pivotButton="0" quotePrefix="0" xfId="0">
      <alignment horizontal="center"/>
    </xf>
    <xf numFmtId="0" fontId="37" fillId="0" borderId="39" pivotButton="0" quotePrefix="0" xfId="0"/>
    <xf numFmtId="0" fontId="37" fillId="0" borderId="34" applyAlignment="1" applyProtection="1" pivotButton="0" quotePrefix="0" xfId="0">
      <alignment horizontal="left" vertical="top"/>
      <protection locked="0" hidden="0"/>
    </xf>
    <xf numFmtId="9" fontId="37" fillId="0" borderId="0" pivotButton="0" quotePrefix="0" xfId="45"/>
    <xf numFmtId="9" fontId="37" fillId="0" borderId="34" pivotButton="0" quotePrefix="0" xfId="45"/>
    <xf numFmtId="9" fontId="37" fillId="0" borderId="34" applyAlignment="1" pivotButton="0" quotePrefix="0" xfId="45">
      <alignment vertical="center"/>
    </xf>
    <xf numFmtId="0" fontId="47" fillId="0" borderId="36" applyAlignment="1" applyProtection="1" pivotButton="0" quotePrefix="0" xfId="0">
      <alignment horizontal="left" vertical="center"/>
      <protection locked="0" hidden="0"/>
    </xf>
    <xf numFmtId="0" fontId="37" fillId="0" borderId="37" applyAlignment="1" pivotButton="0" quotePrefix="0" xfId="0">
      <alignment vertical="center"/>
    </xf>
    <xf numFmtId="9" fontId="37" fillId="0" borderId="37" applyAlignment="1" pivotButton="0" quotePrefix="0" xfId="45">
      <alignment vertical="center"/>
    </xf>
    <xf numFmtId="9" fontId="48" fillId="22" borderId="37" applyAlignment="1" pivotButton="0" quotePrefix="0" xfId="45">
      <alignment horizontal="center" vertical="center"/>
    </xf>
    <xf numFmtId="9" fontId="37" fillId="0" borderId="38" applyAlignment="1" applyProtection="1" pivotButton="0" quotePrefix="0" xfId="45">
      <alignment horizontal="center" vertical="center"/>
      <protection locked="0" hidden="0"/>
    </xf>
    <xf numFmtId="164" fontId="37" fillId="0" borderId="38" applyAlignment="1" pivotButton="0" quotePrefix="0" xfId="44">
      <alignment horizontal="center" vertical="center"/>
    </xf>
    <xf numFmtId="164" fontId="42" fillId="0" borderId="38" applyAlignment="1" pivotButton="0" quotePrefix="0" xfId="44">
      <alignment horizontal="center" vertical="center"/>
    </xf>
    <xf numFmtId="9" fontId="49" fillId="0" borderId="34" applyAlignment="1" pivotButton="0" quotePrefix="0" xfId="45">
      <alignment vertical="center"/>
    </xf>
    <xf numFmtId="164" fontId="37" fillId="0" borderId="38" applyAlignment="1" pivotButton="0" quotePrefix="0" xfId="0">
      <alignment vertical="center"/>
    </xf>
    <xf numFmtId="0" fontId="41" fillId="0" borderId="34" applyAlignment="1" pivotButton="0" quotePrefix="0" xfId="0">
      <alignment horizontal="center" vertical="center"/>
    </xf>
    <xf numFmtId="9" fontId="40" fillId="0" borderId="34" applyAlignment="1" pivotButton="0" quotePrefix="0" xfId="45">
      <alignment vertical="center"/>
    </xf>
    <xf numFmtId="164" fontId="48" fillId="22" borderId="34" applyAlignment="1" pivotButton="0" quotePrefix="0" xfId="44">
      <alignment horizontal="left" vertical="center"/>
    </xf>
    <xf numFmtId="9" fontId="40" fillId="0" borderId="34" applyAlignment="1" pivotButton="0" quotePrefix="0" xfId="45">
      <alignment vertical="center" wrapText="1"/>
    </xf>
    <xf numFmtId="0" fontId="37" fillId="0" borderId="34" applyAlignment="1" applyProtection="1" pivotButton="0" quotePrefix="0" xfId="0">
      <alignment horizontal="left" vertical="center" wrapText="1"/>
      <protection locked="0" hidden="0"/>
    </xf>
    <xf numFmtId="0" fontId="42" fillId="0" borderId="34" applyAlignment="1" applyProtection="1" pivotButton="0" quotePrefix="0" xfId="0">
      <alignment horizontal="left" vertical="center"/>
      <protection locked="0" hidden="0"/>
    </xf>
    <xf numFmtId="164" fontId="37" fillId="0" borderId="34" pivotButton="0" quotePrefix="0" xfId="44"/>
    <xf numFmtId="0" fontId="48" fillId="22" borderId="34" applyAlignment="1" pivotButton="0" quotePrefix="0" xfId="0">
      <alignment horizontal="center" vertical="center"/>
    </xf>
    <xf numFmtId="14" fontId="47" fillId="0" borderId="36" applyAlignment="1" applyProtection="1" pivotButton="0" quotePrefix="0" xfId="0">
      <alignment horizontal="center" vertical="center"/>
      <protection locked="0" hidden="0"/>
    </xf>
    <xf numFmtId="0" fontId="51" fillId="0" borderId="34" applyAlignment="1" pivotButton="0" quotePrefix="0" xfId="0">
      <alignment vertical="center"/>
    </xf>
    <xf numFmtId="0" fontId="52" fillId="0" borderId="34" applyAlignment="1" pivotButton="0" quotePrefix="0" xfId="0">
      <alignment vertical="center"/>
    </xf>
    <xf numFmtId="0" fontId="52" fillId="0" borderId="38" applyAlignment="1" pivotButton="0" quotePrefix="0" xfId="0">
      <alignment vertical="center" wrapText="1"/>
    </xf>
  </cellXfs>
  <cellStyles count="46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Hyperlink" xfId="34" builtinId="8"/>
    <cellStyle name="Input" xfId="35" builtinId="20"/>
    <cellStyle name="Linked Cell" xfId="36" builtinId="24"/>
    <cellStyle name="Neutral" xfId="37" builtinId="28"/>
    <cellStyle name="Note" xfId="38" builtinId="10"/>
    <cellStyle name="Output" xfId="39" builtinId="21"/>
    <cellStyle name="Title" xfId="40" builtinId="15"/>
    <cellStyle name="Total" xfId="41" builtinId="25"/>
    <cellStyle name="Warning Text" xfId="42" builtinId="11"/>
    <cellStyle name="Normal 2" xfId="43"/>
    <cellStyle name="Currency" xfId="44" builtinId="4"/>
    <cellStyle name="Percent" xfId="45" builtinId="5"/>
  </cellStyles>
  <dxfs count="8"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000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52450" cy="590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000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Vertex42">
  <a:themeElements>
    <a:clrScheme name="V42-ClassicBlue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B4E87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Vertex42">
      <a:majorFont>
        <a:latin typeface="Plus Jakarta Sans"/>
        <a:ea typeface=""/>
        <a:cs typeface=""/>
      </a:majorFont>
      <a:minorFont>
        <a:latin typeface="Plus Jakarta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9"/>
  <sheetViews>
    <sheetView showGridLines="0" tabSelected="1" zoomScale="92" zoomScaleNormal="100" workbookViewId="0">
      <selection activeCell="E16" sqref="E16"/>
    </sheetView>
  </sheetViews>
  <sheetFormatPr baseColWidth="8" defaultColWidth="9.109375" defaultRowHeight="14.4"/>
  <cols>
    <col width="47.21875" customWidth="1" style="90" min="1" max="1"/>
    <col width="21.6640625" customWidth="1" style="91" min="2" max="2"/>
    <col width="15.33203125" bestFit="1" customWidth="1" style="90" min="3" max="3"/>
    <col width="16.109375" bestFit="1" customWidth="1" style="90" min="4" max="4"/>
    <col width="14.88671875" customWidth="1" style="90" min="5" max="5"/>
    <col width="9.109375" customWidth="1" style="90" min="6" max="6"/>
    <col width="9.109375" customWidth="1" style="90" min="7" max="7"/>
    <col width="13.77734375" customWidth="1" style="90" min="8" max="8"/>
    <col width="9.109375" customWidth="1" style="90" min="9" max="16384"/>
  </cols>
  <sheetData>
    <row r="1" ht="42" customFormat="1" customHeight="1" s="90">
      <c r="A1" s="92" t="inlineStr">
        <is>
          <t xml:space="preserve">      BeForth</t>
        </is>
      </c>
      <c r="B1" s="93" t="n"/>
      <c r="C1" s="94" t="n"/>
      <c r="D1" s="95" t="inlineStr">
        <is>
          <t>QUOTE</t>
        </is>
      </c>
      <c r="E1" s="96" t="n"/>
      <c r="F1" s="94" t="n"/>
      <c r="G1" s="94" t="n"/>
    </row>
    <row r="2" customFormat="1" s="97">
      <c r="A2" s="98" t="inlineStr">
        <is>
          <t>Nashik - 422008</t>
        </is>
      </c>
      <c r="B2" s="99" t="n"/>
      <c r="C2" s="94" t="n"/>
      <c r="D2" s="94" t="n"/>
      <c r="E2" s="94" t="n"/>
      <c r="F2" s="94" t="n"/>
      <c r="G2" s="94" t="n"/>
    </row>
    <row r="3" customFormat="1" s="97">
      <c r="A3" s="98" t="inlineStr">
        <is>
          <t>Phone: 9766183834</t>
        </is>
      </c>
      <c r="B3" s="100" t="n"/>
      <c r="C3" s="94" t="n"/>
      <c r="D3" s="101" t="inlineStr">
        <is>
          <t>DATE</t>
        </is>
      </c>
      <c r="E3" s="102" t="n">
        <v>46302</v>
      </c>
      <c r="F3" s="94" t="n"/>
      <c r="G3" s="94" t="n"/>
    </row>
    <row r="4" customFormat="1" s="97">
      <c r="A4" s="98" t="inlineStr">
        <is>
          <t>Prepared by: Vivek Chandrashekhar Zope</t>
        </is>
      </c>
      <c r="B4" s="100" t="n"/>
      <c r="C4" s="94" t="n"/>
      <c r="D4" s="101" t="inlineStr">
        <is>
          <t>QUOTE #</t>
        </is>
      </c>
      <c r="E4" s="103" t="inlineStr">
        <is>
          <t>B-2026-0023</t>
        </is>
      </c>
      <c r="F4" s="94" t="n"/>
      <c r="G4" s="94" t="n"/>
    </row>
    <row r="5" customFormat="1" s="97">
      <c r="A5" s="94" t="n"/>
      <c r="B5" s="100" t="n"/>
      <c r="C5" s="94" t="n"/>
      <c r="D5" s="101" t="inlineStr">
        <is>
          <t>VALID UNTIL</t>
        </is>
      </c>
      <c r="E5" s="104">
        <f>E3+10</f>
        <v/>
      </c>
      <c r="F5" s="94" t="n"/>
      <c r="G5" s="94" t="n"/>
    </row>
    <row r="6" customFormat="1" s="97">
      <c r="A6" s="94" t="n"/>
      <c r="B6" s="100" t="n"/>
      <c r="C6" s="94" t="n"/>
      <c r="D6" s="94" t="n"/>
      <c r="E6" s="94" t="n"/>
      <c r="F6" s="94" t="n"/>
      <c r="G6" s="94" t="n"/>
    </row>
    <row r="7" customFormat="1" s="97">
      <c r="A7" s="105" t="n"/>
      <c r="B7" s="106" t="n"/>
      <c r="C7" s="105" t="n"/>
      <c r="D7" s="105" t="n"/>
      <c r="E7" s="105" t="n"/>
      <c r="F7" s="94" t="n"/>
      <c r="G7" s="94" t="n"/>
    </row>
    <row r="8" customFormat="1" s="97">
      <c r="A8" s="94" t="n"/>
      <c r="B8" s="100" t="n"/>
      <c r="C8" s="94" t="n"/>
      <c r="D8" s="94" t="n"/>
      <c r="E8" s="94" t="n"/>
      <c r="F8" s="94" t="n"/>
      <c r="G8" s="94" t="n"/>
    </row>
    <row r="9" ht="18" customFormat="1" customHeight="1" s="97">
      <c r="A9" s="107" t="inlineStr">
        <is>
          <t>CUSTOMER</t>
        </is>
      </c>
      <c r="B9" s="108" t="n"/>
      <c r="C9" s="94" t="n"/>
      <c r="D9" s="94" t="n"/>
      <c r="E9" s="94" t="n"/>
      <c r="F9" s="94" t="n"/>
      <c r="G9" s="94" t="n"/>
    </row>
    <row r="10" customFormat="1" s="97">
      <c r="A10" s="109" t="inlineStr">
        <is>
          <t>Vaishnavi Metals</t>
        </is>
      </c>
      <c r="B10" s="100" t="n"/>
      <c r="C10" s="110" t="n"/>
      <c r="D10" s="110" t="n"/>
      <c r="E10" s="110" t="n"/>
      <c r="F10" s="94" t="n"/>
      <c r="G10" s="94" t="n"/>
    </row>
    <row r="11" customFormat="1" s="97">
      <c r="A11" s="111" t="inlineStr">
        <is>
          <t>Chandrapur, Maharashtra</t>
        </is>
      </c>
      <c r="B11" s="100" t="n"/>
      <c r="C11" s="110" t="n"/>
      <c r="D11" s="110" t="n"/>
      <c r="E11" s="110" t="n"/>
      <c r="F11" s="94" t="n"/>
      <c r="G11" s="94" t="n"/>
    </row>
    <row r="12" customFormat="1" s="97">
      <c r="A12" s="94" t="n"/>
      <c r="B12" s="100" t="n"/>
      <c r="C12" s="110" t="n"/>
      <c r="D12" s="110" t="n"/>
      <c r="E12" s="110" t="n"/>
      <c r="F12" s="94" t="n"/>
      <c r="G12" s="94" t="n"/>
    </row>
    <row r="13" customFormat="1" s="97">
      <c r="A13" s="94" t="n"/>
      <c r="B13" s="100" t="n"/>
      <c r="C13" s="110" t="n"/>
      <c r="D13" s="110" t="n"/>
      <c r="E13" s="110" t="n"/>
      <c r="F13" s="94" t="n"/>
      <c r="G13" s="94" t="n"/>
    </row>
    <row r="14" customFormat="1" s="97">
      <c r="A14" s="110" t="n"/>
      <c r="B14" s="100" t="n"/>
      <c r="C14" s="110" t="n"/>
      <c r="D14" s="110" t="n"/>
      <c r="E14" s="110" t="n"/>
      <c r="F14" s="94" t="n"/>
      <c r="G14" s="94" t="n"/>
    </row>
    <row r="15" ht="18" customFormat="1" customHeight="1" s="97">
      <c r="A15" s="112" t="inlineStr">
        <is>
          <t>DESCRIPTION</t>
        </is>
      </c>
      <c r="B15" s="113" t="inlineStr">
        <is>
          <t>PRICE</t>
        </is>
      </c>
      <c r="C15" s="114" t="inlineStr">
        <is>
          <t>DISCOUNT</t>
        </is>
      </c>
      <c r="D15" s="114" t="inlineStr">
        <is>
          <t>TAX</t>
        </is>
      </c>
      <c r="E15" s="114" t="inlineStr">
        <is>
          <t>AMOUNT</t>
        </is>
      </c>
      <c r="F15" s="94" t="n"/>
      <c r="G15" s="94" t="n"/>
    </row>
    <row r="16" customFormat="1" s="97">
      <c r="A16" s="115" t="inlineStr">
        <is>
          <t>Billing Module</t>
        </is>
      </c>
      <c r="B16" s="116" t="n">
        <v>65000</v>
      </c>
      <c r="C16" s="116" t="n"/>
      <c r="D16" s="117" t="n"/>
      <c r="E16" s="118" t="n">
        <v>65000</v>
      </c>
      <c r="F16" s="94" t="n"/>
      <c r="G16" s="94" t="n"/>
    </row>
    <row r="17" customFormat="1" s="97">
      <c r="A17" s="115" t="n"/>
      <c r="B17" s="116" t="n"/>
      <c r="C17" s="116" t="n"/>
      <c r="D17" s="117" t="n"/>
      <c r="E17" s="118" t="n"/>
      <c r="F17" s="94" t="n"/>
      <c r="G17" s="94" t="n"/>
    </row>
    <row r="18" customFormat="1" s="97">
      <c r="A18" s="119" t="n"/>
      <c r="B18" s="116" t="n"/>
      <c r="C18" s="116" t="n"/>
      <c r="D18" s="117" t="n"/>
      <c r="E18" s="118" t="n"/>
      <c r="F18" s="94" t="n"/>
      <c r="G18" s="94" t="n"/>
    </row>
    <row r="19" customFormat="1" s="97">
      <c r="A19" s="119" t="n"/>
      <c r="B19" s="116" t="n"/>
      <c r="C19" s="116" t="n"/>
      <c r="D19" s="117" t="n"/>
      <c r="E19" s="118" t="n"/>
      <c r="F19" s="94" t="n"/>
      <c r="G19" s="94" t="n"/>
    </row>
    <row r="20" customFormat="1" s="97">
      <c r="A20" s="120" t="n"/>
      <c r="B20" s="116" t="n"/>
      <c r="C20" s="116" t="n"/>
      <c r="D20" s="117" t="n"/>
      <c r="E20" s="118" t="n"/>
      <c r="F20" s="94" t="n"/>
      <c r="G20" s="94" t="n"/>
    </row>
    <row r="21" customFormat="1" s="97">
      <c r="A21" s="121" t="n"/>
      <c r="B21" s="116" t="n"/>
      <c r="C21" s="116" t="n"/>
      <c r="D21" s="117" t="n"/>
      <c r="E21" s="118" t="n"/>
      <c r="F21" s="94" t="n"/>
      <c r="G21" s="94" t="n"/>
    </row>
    <row r="22" customFormat="1" s="97">
      <c r="A22" s="94" t="n"/>
      <c r="B22" s="100" t="n"/>
      <c r="C22" s="122" t="inlineStr">
        <is>
          <t>[42]</t>
        </is>
      </c>
      <c r="D22" s="123" t="inlineStr">
        <is>
          <t>Subtotal</t>
        </is>
      </c>
      <c r="E22" s="124">
        <f>SUM(E16:E21)</f>
        <v/>
      </c>
      <c r="F22" s="94" t="n"/>
      <c r="G22" s="110" t="inlineStr">
        <is>
          <t> </t>
        </is>
      </c>
    </row>
    <row r="23" customFormat="1" s="97">
      <c r="A23" s="94" t="n"/>
      <c r="B23" s="100" t="n"/>
      <c r="C23" s="125" t="n"/>
      <c r="D23" s="123" t="inlineStr">
        <is>
          <t>Discount</t>
        </is>
      </c>
      <c r="E23" s="126" t="n"/>
      <c r="F23" s="94" t="n"/>
      <c r="G23" s="94" t="n"/>
    </row>
    <row r="24" ht="16.2" customFormat="1" customHeight="1" s="97">
      <c r="A24" s="127" t="n"/>
      <c r="B24" s="127" t="n"/>
      <c r="C24" s="125" t="n"/>
      <c r="D24" s="123" t="inlineStr">
        <is>
          <t>Taxable</t>
        </is>
      </c>
      <c r="E24" s="128">
        <f>SUMIF(D16:D21,"=x",E16:E21)</f>
        <v/>
      </c>
      <c r="F24" s="94" t="n"/>
      <c r="G24" s="94" t="n"/>
    </row>
    <row r="25" customFormat="1" s="97">
      <c r="A25" s="129" t="n"/>
      <c r="B25" s="129" t="n"/>
      <c r="C25" s="125" t="n"/>
      <c r="D25" s="123" t="inlineStr">
        <is>
          <t>Tax rate</t>
        </is>
      </c>
      <c r="E25" s="128">
        <f>SUMIF(D16:D22,"=x",E16:E22)</f>
        <v/>
      </c>
      <c r="F25" s="94" t="n"/>
      <c r="G25" s="94" t="n"/>
    </row>
    <row r="26" customFormat="1" s="97">
      <c r="A26" s="130" t="n"/>
      <c r="B26" s="130" t="n"/>
      <c r="C26" s="125" t="n"/>
      <c r="D26" s="123" t="inlineStr">
        <is>
          <t>Tax due</t>
        </is>
      </c>
      <c r="E26" s="128">
        <f>ROUND(E24*E25,2)</f>
        <v/>
      </c>
      <c r="F26" s="94" t="n"/>
      <c r="G26" s="94" t="n"/>
    </row>
    <row r="27" ht="15" customFormat="1" customHeight="1" s="97" thickBot="1">
      <c r="A27" s="94" t="n"/>
      <c r="B27" s="94" t="n"/>
      <c r="C27" s="125" t="n"/>
      <c r="D27" s="123" t="inlineStr">
        <is>
          <t>Other</t>
        </is>
      </c>
      <c r="E27" s="131" t="n">
        <v>0</v>
      </c>
      <c r="F27" s="94" t="n"/>
      <c r="G27" s="94" t="n"/>
    </row>
    <row r="28" ht="15" customFormat="1" customHeight="1" s="132" thickTop="1">
      <c r="A28" s="94" t="n"/>
      <c r="B28" s="94" t="n"/>
      <c r="C28" s="133" t="n"/>
      <c r="D28" s="134" t="inlineStr">
        <is>
          <t>TOTAL</t>
        </is>
      </c>
      <c r="E28" s="135">
        <f>E22-(E22*E23)+N(E26)+N(E27)</f>
        <v/>
      </c>
      <c r="F28" s="94" t="n"/>
      <c r="G28" s="94" t="n"/>
    </row>
    <row r="29" customFormat="1" s="132">
      <c r="A29" s="94" t="n"/>
      <c r="B29" s="94" t="n"/>
      <c r="C29" s="133" t="n"/>
      <c r="D29" s="136" t="n"/>
      <c r="E29" s="137" t="n"/>
      <c r="F29" s="94" t="n"/>
      <c r="G29" s="94" t="n"/>
    </row>
    <row r="30" customFormat="1" s="97">
      <c r="A30" s="94" t="n"/>
      <c r="B30" s="94" t="n"/>
      <c r="C30" s="125" t="n"/>
      <c r="D30" s="138" t="n"/>
      <c r="E30" s="139" t="n"/>
      <c r="F30" s="94" t="n"/>
      <c r="G30" s="94" t="n"/>
    </row>
    <row r="31" customFormat="1" s="97">
      <c r="A31" s="107" t="inlineStr">
        <is>
          <t>Note:</t>
        </is>
      </c>
      <c r="B31" s="140" t="n"/>
      <c r="C31" s="94" t="n"/>
      <c r="D31" s="94" t="n"/>
      <c r="E31" s="94" t="n"/>
      <c r="F31" s="94" t="n"/>
      <c r="G31" s="94" t="n"/>
    </row>
    <row r="32">
      <c r="A32" s="141" t="inlineStr">
        <is>
          <t>1. Any feature addtion other than SRS will be billed seperately.</t>
        </is>
      </c>
      <c r="B32" s="94" t="n"/>
      <c r="C32" s="94" t="n"/>
      <c r="D32" s="94" t="n"/>
      <c r="E32" s="94" t="n"/>
      <c r="F32" s="94" t="n"/>
      <c r="G32" s="94" t="n"/>
    </row>
    <row r="33">
      <c r="A33" s="142" t="inlineStr">
        <is>
          <t>2. Standard support included during business hours (Mon–Fri).</t>
        </is>
      </c>
      <c r="B33" s="93" t="n"/>
      <c r="C33" s="94" t="n"/>
      <c r="D33" s="94" t="n"/>
      <c r="E33" s="94" t="n"/>
      <c r="F33" s="94" t="n"/>
      <c r="G33" s="94" t="n"/>
    </row>
    <row r="34">
      <c r="A34" s="142" t="inlineStr">
        <is>
          <t>3. Advance Payment to be done (50%).</t>
        </is>
      </c>
      <c r="B34" s="93" t="n"/>
      <c r="C34" s="94" t="n"/>
      <c r="D34" s="94" t="n"/>
      <c r="E34" s="94" t="n"/>
      <c r="F34" s="94" t="n"/>
      <c r="G34" s="94" t="n"/>
    </row>
    <row r="35" ht="29.4" customFormat="1" customHeight="1" s="90">
      <c r="A35" s="141" t="inlineStr">
        <is>
          <t>4. Annual Maintenance Contract (AMC) for the system will be ₹3,000 per year, with a 3% annual increase applicable from each subsequent year.</t>
        </is>
      </c>
      <c r="B35" s="94" t="n"/>
      <c r="C35" s="94" t="n"/>
      <c r="D35" s="94" t="n"/>
      <c r="E35" s="94" t="n"/>
      <c r="F35" s="94" t="n"/>
      <c r="G35" s="94" t="n"/>
    </row>
    <row r="36" ht="18" customFormat="1" customHeight="1" s="90">
      <c r="A36" s="143" t="n"/>
      <c r="B36" s="94" t="n"/>
      <c r="C36" s="94" t="n"/>
      <c r="D36" s="94" t="n"/>
      <c r="E36" s="94" t="n"/>
      <c r="F36" s="94" t="n"/>
      <c r="G36" s="94" t="n"/>
    </row>
    <row r="37">
      <c r="A37" s="94" t="n"/>
      <c r="B37" s="94" t="n"/>
      <c r="C37" s="94" t="n"/>
      <c r="D37" s="94" t="n"/>
      <c r="E37" s="94" t="n"/>
      <c r="F37" s="94" t="n"/>
      <c r="G37" s="94" t="n"/>
    </row>
    <row r="38">
      <c r="A38" s="107" t="inlineStr">
        <is>
          <t>Bank Details</t>
        </is>
      </c>
      <c r="B38" s="140" t="n"/>
      <c r="C38" s="94" t="n"/>
      <c r="D38" s="94" t="n"/>
      <c r="E38" s="94" t="n"/>
      <c r="F38" s="94" t="n"/>
      <c r="G38" s="94" t="n"/>
    </row>
    <row r="39">
      <c r="A39" s="144" t="inlineStr">
        <is>
          <t>Name</t>
        </is>
      </c>
      <c r="B39" s="145" t="inlineStr">
        <is>
          <t>Beforth</t>
        </is>
      </c>
      <c r="C39" s="94" t="n"/>
      <c r="D39" s="94" t="n"/>
      <c r="E39" s="94" t="n"/>
      <c r="F39" s="94" t="n"/>
      <c r="G39" s="94" t="n"/>
    </row>
    <row r="40">
      <c r="A40" s="146" t="inlineStr">
        <is>
          <t>Bank Name</t>
        </is>
      </c>
      <c r="B40" s="145" t="inlineStr">
        <is>
          <t xml:space="preserve">BOI </t>
        </is>
      </c>
      <c r="C40" s="94" t="n"/>
      <c r="D40" s="94" t="n"/>
      <c r="E40" s="94" t="n"/>
      <c r="F40" s="94" t="n"/>
      <c r="G40" s="94" t="n"/>
    </row>
    <row r="41">
      <c r="A41" s="146" t="inlineStr">
        <is>
          <t>IFSC No.</t>
        </is>
      </c>
      <c r="B41" s="145" t="inlineStr">
        <is>
          <t>BKID0000838</t>
        </is>
      </c>
      <c r="C41" s="94" t="n"/>
      <c r="D41" s="94" t="n"/>
      <c r="E41" s="94" t="n"/>
      <c r="F41" s="94" t="n"/>
      <c r="G41" s="94" t="n"/>
    </row>
    <row r="42">
      <c r="A42" s="146" t="inlineStr">
        <is>
          <t>Account No.</t>
        </is>
      </c>
      <c r="B42" s="145" t="inlineStr">
        <is>
          <t>083820110000022</t>
        </is>
      </c>
      <c r="C42" s="94" t="n"/>
      <c r="D42" s="94" t="n"/>
      <c r="E42" s="94" t="n"/>
      <c r="F42" s="94" t="n"/>
      <c r="G42" s="94" t="n"/>
    </row>
    <row r="43">
      <c r="A43" s="94" t="n"/>
      <c r="B43" s="94" t="n"/>
      <c r="C43" s="94" t="n"/>
      <c r="D43" s="94" t="n"/>
      <c r="E43" s="94" t="n"/>
      <c r="F43" s="94" t="n"/>
      <c r="G43" s="94" t="n"/>
    </row>
    <row r="44">
      <c r="A44" s="94" t="n"/>
      <c r="B44" s="94" t="n"/>
      <c r="C44" s="94" t="n"/>
      <c r="D44" s="94" t="n"/>
      <c r="E44" s="94" t="n"/>
      <c r="F44" s="94" t="n"/>
      <c r="G44" s="94" t="n"/>
    </row>
    <row r="45">
      <c r="A45" s="94" t="n"/>
      <c r="B45" s="94" t="n"/>
      <c r="C45" s="94" t="n"/>
      <c r="D45" s="94" t="n"/>
      <c r="E45" s="94" t="n"/>
      <c r="F45" s="94" t="n"/>
      <c r="G45" s="94" t="n"/>
    </row>
    <row r="46">
      <c r="A46" s="147" t="inlineStr">
        <is>
          <t>If you have any questions about this price quote, please contact</t>
        </is>
      </c>
      <c r="B46" s="94" t="n"/>
      <c r="C46" s="94" t="n"/>
      <c r="D46" s="94" t="n"/>
      <c r="E46" s="94" t="n"/>
      <c r="F46" s="94" t="n"/>
      <c r="G46" s="94" t="n"/>
    </row>
    <row r="47" ht="16.2" customFormat="1" customHeight="1" s="90">
      <c r="A47" s="148" t="inlineStr">
        <is>
          <t>Vivek Zope, Phone: 9766183834 E-mail: vivek.zope@beforth.in</t>
        </is>
      </c>
      <c r="B47" s="93" t="n"/>
      <c r="C47" s="93" t="n"/>
      <c r="D47" s="93" t="n"/>
      <c r="E47" s="93" t="n"/>
      <c r="F47" s="94" t="n"/>
      <c r="G47" s="94" t="n"/>
    </row>
    <row r="48" ht="16.2" customFormat="1" customHeight="1" s="90">
      <c r="A48" s="149" t="inlineStr">
        <is>
          <t>Thank You For Your Business!</t>
        </is>
      </c>
      <c r="B48" s="150" t="n"/>
      <c r="C48" s="150" t="n"/>
      <c r="D48" s="150" t="n"/>
      <c r="E48" s="150" t="n"/>
      <c r="F48" s="94" t="n"/>
      <c r="G48" s="94" t="n"/>
    </row>
    <row r="49">
      <c r="A49" s="151" t="n"/>
      <c r="B49" s="93" t="n"/>
      <c r="C49" s="94" t="n"/>
      <c r="D49" s="94" t="n"/>
      <c r="E49" s="94" t="n"/>
      <c r="F49" s="94" t="n"/>
      <c r="G49" s="94" t="n"/>
    </row>
    <row r="58" ht="16.2" customFormat="1" customHeight="1" s="90"/>
  </sheetData>
  <mergeCells count="13">
    <mergeCell ref="A38:B38"/>
    <mergeCell ref="A48:E48"/>
    <mergeCell ref="D1:E1"/>
    <mergeCell ref="A33:B33"/>
    <mergeCell ref="A49:B49"/>
    <mergeCell ref="A32:B32"/>
    <mergeCell ref="A47:E47"/>
    <mergeCell ref="A36:B36"/>
    <mergeCell ref="A46:E46"/>
    <mergeCell ref="A1:B1"/>
    <mergeCell ref="A31:B31"/>
    <mergeCell ref="A34:B34"/>
    <mergeCell ref="A35:B35"/>
  </mergeCells>
  <conditionalFormatting sqref="A18:A21">
    <cfRule type="expression" priority="6" dxfId="0">
      <formula>MOD(ROW(),2)=1</formula>
    </cfRule>
  </conditionalFormatting>
  <conditionalFormatting sqref="B16:B21">
    <cfRule type="expression" priority="5" dxfId="0">
      <formula>MOD(ROW(),2)=1</formula>
    </cfRule>
  </conditionalFormatting>
  <conditionalFormatting sqref="C16:D21">
    <cfRule type="expression" priority="24" dxfId="0" stopIfTrue="1">
      <formula>MOD(ROW(),2)=1</formula>
    </cfRule>
  </conditionalFormatting>
  <conditionalFormatting sqref="E16:E21">
    <cfRule type="expression" priority="1" dxfId="0">
      <formula>MOD(ROW(),2)=1</formula>
    </cfRule>
  </conditionalFormatting>
  <dataValidations count="1">
    <dataValidation sqref="D16:D21" showDropDown="0" showInputMessage="0" showErrorMessage="0" allowBlank="1" error="Type x to mark this line as taxable, or leave it empty." type="list">
      <formula1>"x"</formula1>
    </dataValidation>
  </dataValidations>
  <printOptions horizontalCentered="1"/>
  <pageMargins left="0.5" right="0.5" top="0.5" bottom="0.5" header="0.5" footer="0.25"/>
  <pageSetup orientation="portrait" paperSize="9" scale="88" fitToHeight="1" fitToWidth="1"/>
  <headerFooter alignWithMargins="0">
    <oddHeader/>
    <oddFooter>&amp;C&amp;8 &amp;K5F6571BeForth  ·  Nashik, Maharashtra  ·  beforth.in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4"/>
  <sheetViews>
    <sheetView showGridLines="0" workbookViewId="0">
      <selection activeCell="G16" sqref="G16"/>
    </sheetView>
  </sheetViews>
  <sheetFormatPr baseColWidth="8" defaultRowHeight="14.4"/>
  <cols>
    <col width="44.109375" bestFit="1" customWidth="1" style="90" min="1" max="1"/>
    <col width="16.109375" bestFit="1" customWidth="1" style="90" min="2" max="2"/>
    <col width="11.44140625" bestFit="1" customWidth="1" style="152" min="3" max="3"/>
    <col width="10.77734375" customWidth="1" style="90" min="4" max="4"/>
    <col width="13.77734375" customWidth="1" style="90" min="5" max="5"/>
  </cols>
  <sheetData>
    <row r="1" ht="57" customFormat="1" customHeight="1" s="90">
      <c r="A1" s="92" t="inlineStr">
        <is>
          <t xml:space="preserve">      BeForth</t>
        </is>
      </c>
      <c r="B1" s="93" t="n"/>
      <c r="C1" s="153" t="n"/>
      <c r="D1" s="95" t="inlineStr">
        <is>
          <t>QUOTE</t>
        </is>
      </c>
      <c r="E1" s="96" t="n"/>
      <c r="F1" s="94" t="n"/>
      <c r="G1" s="94" t="n"/>
    </row>
    <row r="2">
      <c r="A2" s="98" t="inlineStr">
        <is>
          <t>Nashik - 422008</t>
        </is>
      </c>
      <c r="B2" s="99" t="n"/>
      <c r="C2" s="154" t="n"/>
      <c r="D2" s="110" t="n"/>
      <c r="E2" s="110" t="n"/>
      <c r="F2" s="94" t="n"/>
      <c r="G2" s="94" t="n"/>
    </row>
    <row r="3">
      <c r="A3" s="98" t="inlineStr">
        <is>
          <t>Phone: 9766183834</t>
        </is>
      </c>
      <c r="B3" s="100" t="n"/>
      <c r="C3" s="154" t="n"/>
      <c r="D3" s="101" t="inlineStr">
        <is>
          <t>DATE</t>
        </is>
      </c>
      <c r="E3" s="102" t="n">
        <v>46253</v>
      </c>
      <c r="F3" s="94" t="n"/>
      <c r="G3" s="94" t="n"/>
    </row>
    <row r="4">
      <c r="A4" s="98" t="inlineStr">
        <is>
          <t>Prepared by: Vivek Chandrashekhar Zope</t>
        </is>
      </c>
      <c r="B4" s="100" t="n"/>
      <c r="C4" s="154" t="n"/>
      <c r="D4" s="101" t="inlineStr">
        <is>
          <t>QUOTE #</t>
        </is>
      </c>
      <c r="E4" s="155" t="inlineStr">
        <is>
          <t>B-2026-0019-R1</t>
        </is>
      </c>
      <c r="F4" s="94" t="n"/>
      <c r="G4" s="94" t="n"/>
    </row>
    <row r="5">
      <c r="A5" s="110" t="n"/>
      <c r="B5" s="100" t="n"/>
      <c r="C5" s="154" t="n"/>
      <c r="D5" s="101" t="inlineStr">
        <is>
          <t>VALID UNTIL</t>
        </is>
      </c>
      <c r="E5" s="104">
        <f>E3+10</f>
        <v/>
      </c>
      <c r="F5" s="94" t="n"/>
      <c r="G5" s="94" t="n"/>
    </row>
    <row r="6">
      <c r="A6" s="110" t="n"/>
      <c r="B6" s="100" t="n"/>
      <c r="C6" s="154" t="n"/>
      <c r="D6" s="110" t="n"/>
      <c r="E6" s="110" t="n"/>
      <c r="F6" s="94" t="n"/>
      <c r="G6" s="94" t="n"/>
    </row>
    <row r="7">
      <c r="A7" s="156" t="n"/>
      <c r="B7" s="106" t="n"/>
      <c r="C7" s="157" t="n"/>
      <c r="D7" s="156" t="n"/>
      <c r="E7" s="156" t="n"/>
      <c r="F7" s="94" t="n"/>
      <c r="G7" s="94" t="n"/>
    </row>
    <row r="8">
      <c r="A8" s="110" t="n"/>
      <c r="B8" s="100" t="n"/>
      <c r="C8" s="154" t="n"/>
      <c r="D8" s="110" t="n"/>
      <c r="E8" s="110" t="n"/>
      <c r="F8" s="94" t="n"/>
      <c r="G8" s="94" t="n"/>
    </row>
    <row r="9">
      <c r="A9" s="107" t="inlineStr">
        <is>
          <t>CUSTOMER</t>
        </is>
      </c>
      <c r="B9" s="108" t="n"/>
      <c r="C9" s="154" t="n"/>
      <c r="D9" s="110" t="n"/>
      <c r="E9" s="110" t="n"/>
      <c r="F9" s="94" t="n"/>
      <c r="G9" s="94" t="n"/>
    </row>
    <row r="10">
      <c r="A10" s="109" t="inlineStr">
        <is>
          <t>Magnus Enterprises</t>
        </is>
      </c>
      <c r="B10" s="100" t="n"/>
      <c r="C10" s="154" t="n"/>
      <c r="D10" s="110" t="n"/>
      <c r="E10" s="110" t="n"/>
      <c r="F10" s="94" t="n"/>
      <c r="G10" s="94" t="n"/>
    </row>
    <row r="11">
      <c r="A11" s="111" t="inlineStr">
        <is>
          <t>Datir Mala, Plot no 9, Ambad Village,</t>
        </is>
      </c>
      <c r="B11" s="100" t="n"/>
      <c r="C11" s="154" t="n"/>
      <c r="D11" s="110" t="n"/>
      <c r="E11" s="110" t="n"/>
      <c r="F11" s="94" t="n"/>
      <c r="G11" s="94" t="n"/>
    </row>
    <row r="12">
      <c r="A12" s="98" t="inlineStr">
        <is>
          <t>Nashik,Maharashtra - 422010</t>
        </is>
      </c>
      <c r="B12" s="100" t="n"/>
      <c r="C12" s="154" t="n"/>
      <c r="D12" s="110" t="n"/>
      <c r="E12" s="110" t="n"/>
      <c r="F12" s="94" t="n"/>
      <c r="G12" s="94" t="n"/>
    </row>
    <row r="13">
      <c r="A13" s="110" t="n"/>
      <c r="B13" s="100" t="n"/>
      <c r="C13" s="154" t="n"/>
      <c r="D13" s="110" t="n"/>
      <c r="E13" s="110" t="n"/>
      <c r="F13" s="94" t="n"/>
      <c r="G13" s="94" t="n"/>
    </row>
    <row r="14">
      <c r="A14" s="112" t="inlineStr">
        <is>
          <t>DESCRIPTION</t>
        </is>
      </c>
      <c r="B14" s="113" t="inlineStr">
        <is>
          <t>PRICE</t>
        </is>
      </c>
      <c r="C14" s="158" t="inlineStr">
        <is>
          <t>DISCOUNT</t>
        </is>
      </c>
      <c r="D14" s="114" t="inlineStr">
        <is>
          <t>TAXED</t>
        </is>
      </c>
      <c r="E14" s="114" t="inlineStr">
        <is>
          <t>AMOUNT</t>
        </is>
      </c>
      <c r="F14" s="94" t="n"/>
      <c r="G14" s="94" t="n"/>
    </row>
    <row r="15">
      <c r="A15" s="121" t="inlineStr">
        <is>
          <t>Single Page Website</t>
        </is>
      </c>
      <c r="B15" s="116" t="n">
        <v>5000</v>
      </c>
      <c r="C15" s="159" t="n">
        <v>0.2</v>
      </c>
      <c r="D15" s="117" t="n"/>
      <c r="E15" s="118" t="n">
        <v>4000</v>
      </c>
      <c r="F15" s="94" t="n"/>
      <c r="G15" s="94" t="n"/>
    </row>
    <row r="16">
      <c r="A16" s="121" t="inlineStr">
        <is>
          <t>Backend Dashboard</t>
        </is>
      </c>
      <c r="B16" s="160" t="n">
        <v>3000</v>
      </c>
      <c r="C16" s="159" t="n"/>
      <c r="D16" s="117" t="n"/>
      <c r="E16" s="161" t="n">
        <v>3000</v>
      </c>
      <c r="F16" s="94" t="n"/>
      <c r="G16" s="94" t="n"/>
    </row>
    <row r="17">
      <c r="A17" s="121" t="inlineStr">
        <is>
          <t>Domain (3 Years):</t>
        </is>
      </c>
      <c r="B17" s="160" t="n">
        <v>1800</v>
      </c>
      <c r="C17" s="159" t="n"/>
      <c r="D17" s="117" t="n"/>
      <c r="E17" s="161" t="n">
        <v>1800</v>
      </c>
      <c r="F17" s="94" t="n"/>
      <c r="G17" s="94" t="n"/>
    </row>
    <row r="18">
      <c r="A18" s="121" t="inlineStr">
        <is>
          <t xml:space="preserve"> - magnus-enterprises.in</t>
        </is>
      </c>
      <c r="B18" s="160" t="n"/>
      <c r="C18" s="159" t="n"/>
      <c r="D18" s="117" t="n"/>
      <c r="E18" s="161" t="n"/>
      <c r="F18" s="94" t="n"/>
      <c r="G18" s="94" t="n"/>
    </row>
    <row r="19">
      <c r="A19" s="121" t="inlineStr">
        <is>
          <t xml:space="preserve"> - magunsenterprise.co.in</t>
        </is>
      </c>
      <c r="B19" s="160" t="n"/>
      <c r="C19" s="159" t="n"/>
      <c r="D19" s="117" t="n"/>
      <c r="E19" s="161" t="n"/>
      <c r="F19" s="94" t="n"/>
      <c r="G19" s="94" t="n"/>
    </row>
    <row r="20">
      <c r="A20" s="110" t="n"/>
      <c r="B20" s="100" t="n"/>
      <c r="C20" s="162" t="inlineStr">
        <is>
          <t>[42]</t>
        </is>
      </c>
      <c r="D20" s="123" t="inlineStr">
        <is>
          <t>Subtotal</t>
        </is>
      </c>
      <c r="E20" s="163">
        <f>SUM(E15:E19)</f>
        <v/>
      </c>
      <c r="F20" s="94" t="n"/>
      <c r="G20" s="94" t="n"/>
    </row>
    <row r="21" ht="16.2" customFormat="1" customHeight="1" s="90">
      <c r="A21" s="164" t="n"/>
      <c r="B21" s="94" t="n"/>
      <c r="C21" s="165" t="n"/>
      <c r="D21" s="123" t="inlineStr">
        <is>
          <t>Taxable</t>
        </is>
      </c>
      <c r="E21" s="128">
        <f>SUMIF(D15:D19,"=x",E15:E19)</f>
        <v/>
      </c>
      <c r="F21" s="94" t="n"/>
      <c r="G21" s="94" t="n"/>
    </row>
    <row r="22">
      <c r="A22" s="107" t="inlineStr">
        <is>
          <t>Note:</t>
        </is>
      </c>
      <c r="B22" s="166" t="n"/>
      <c r="C22" s="165" t="n"/>
      <c r="D22" s="123" t="inlineStr">
        <is>
          <t>Tax rate</t>
        </is>
      </c>
      <c r="E22" s="128">
        <f>SUMIF(D15:D20,"=x",E15:E20)</f>
        <v/>
      </c>
      <c r="F22" s="94" t="n"/>
      <c r="G22" s="94" t="n"/>
    </row>
    <row r="23">
      <c r="A23" s="142" t="inlineStr">
        <is>
          <t>1. Advance Payment to be done (50%).</t>
        </is>
      </c>
      <c r="B23" s="93" t="n"/>
      <c r="C23" s="165" t="n"/>
      <c r="D23" s="123" t="inlineStr">
        <is>
          <t>Tax due</t>
        </is>
      </c>
      <c r="E23" s="128">
        <f>ROUND(E21*E22,2)</f>
        <v/>
      </c>
      <c r="F23" s="94" t="n"/>
      <c r="G23" s="94" t="n"/>
    </row>
    <row r="24" ht="15" customFormat="1" customHeight="1" s="90" thickBot="1">
      <c r="A24" s="142" t="inlineStr">
        <is>
          <t>2. Standard support included during business hours (Mon–Fri).</t>
        </is>
      </c>
      <c r="B24" s="93" t="n"/>
      <c r="C24" s="165" t="n"/>
      <c r="D24" s="123" t="inlineStr">
        <is>
          <t>Other</t>
        </is>
      </c>
      <c r="E24" s="131" t="n">
        <v>0</v>
      </c>
      <c r="F24" s="94" t="n"/>
      <c r="G24" s="94" t="n"/>
    </row>
    <row r="25" ht="15" customFormat="1" customHeight="1" s="90" thickTop="1">
      <c r="A25" s="142" t="inlineStr">
        <is>
          <t>3. Domain and server charges will be covered by client.</t>
        </is>
      </c>
      <c r="B25" s="93" t="n"/>
      <c r="C25" s="167" t="n"/>
      <c r="D25" s="134" t="inlineStr">
        <is>
          <t>TOTAL</t>
        </is>
      </c>
      <c r="E25" s="135">
        <f>E20+E21+E24</f>
        <v/>
      </c>
      <c r="F25" s="94" t="n"/>
      <c r="G25" s="94" t="n"/>
    </row>
    <row r="26">
      <c r="A26" s="168" t="n"/>
      <c r="B26" s="93" t="n"/>
      <c r="C26" s="167" t="n"/>
      <c r="D26" s="136" t="n"/>
      <c r="E26" s="137" t="n"/>
      <c r="F26" s="94" t="n"/>
      <c r="G26" s="94" t="n"/>
    </row>
    <row r="27">
      <c r="A27" s="169" t="n"/>
      <c r="B27" s="93" t="n"/>
      <c r="C27" s="165" t="n"/>
      <c r="D27" s="138" t="n"/>
      <c r="E27" s="139" t="n"/>
      <c r="F27" s="94" t="n"/>
      <c r="G27" s="94" t="n"/>
    </row>
    <row r="28">
      <c r="A28" s="94" t="n"/>
      <c r="B28" s="100" t="n"/>
      <c r="C28" s="153" t="n"/>
      <c r="D28" s="110" t="n"/>
      <c r="E28" s="110" t="n"/>
      <c r="F28" s="94" t="n"/>
      <c r="G28" s="94" t="n"/>
    </row>
    <row r="29">
      <c r="A29" s="94" t="n"/>
      <c r="B29" s="170" t="n"/>
      <c r="C29" s="153" t="n"/>
      <c r="D29" s="94" t="n"/>
      <c r="E29" s="94" t="n"/>
      <c r="F29" s="94" t="n"/>
      <c r="G29" s="94" t="n"/>
    </row>
    <row r="30">
      <c r="A30" s="94" t="n"/>
      <c r="B30" s="170" t="n"/>
      <c r="C30" s="153" t="n"/>
      <c r="D30" s="94" t="n"/>
      <c r="E30" s="94" t="n"/>
      <c r="F30" s="94" t="n"/>
      <c r="G30" s="94" t="n"/>
    </row>
    <row r="31">
      <c r="A31" s="171" t="inlineStr">
        <is>
          <t>Bank Details</t>
        </is>
      </c>
      <c r="B31" s="140" t="n"/>
      <c r="C31" s="153" t="n"/>
      <c r="D31" s="94" t="n"/>
      <c r="E31" s="94" t="n"/>
      <c r="F31" s="94" t="n"/>
      <c r="G31" s="94" t="n"/>
    </row>
    <row r="32">
      <c r="A32" s="144" t="inlineStr">
        <is>
          <t>Name</t>
        </is>
      </c>
      <c r="B32" s="145" t="inlineStr">
        <is>
          <t>Beforth</t>
        </is>
      </c>
      <c r="C32" s="153" t="n"/>
      <c r="D32" s="94" t="n"/>
      <c r="E32" s="94" t="n"/>
      <c r="F32" s="94" t="n"/>
      <c r="G32" s="94" t="n"/>
    </row>
    <row r="33">
      <c r="A33" s="146" t="inlineStr">
        <is>
          <t>Bank Name</t>
        </is>
      </c>
      <c r="B33" s="145" t="inlineStr">
        <is>
          <t xml:space="preserve">BOI </t>
        </is>
      </c>
      <c r="C33" s="153" t="n"/>
      <c r="D33" s="94" t="n"/>
      <c r="E33" s="94" t="n"/>
      <c r="F33" s="94" t="n"/>
      <c r="G33" s="94" t="n"/>
    </row>
    <row r="34">
      <c r="A34" s="146" t="inlineStr">
        <is>
          <t>IFSC No.</t>
        </is>
      </c>
      <c r="B34" s="145" t="inlineStr">
        <is>
          <t>BKID0000838</t>
        </is>
      </c>
      <c r="C34" s="153" t="n"/>
      <c r="D34" s="94" t="n"/>
      <c r="E34" s="94" t="n"/>
      <c r="F34" s="94" t="n"/>
      <c r="G34" s="94" t="n"/>
    </row>
    <row r="35">
      <c r="A35" s="146" t="inlineStr">
        <is>
          <t>Account No.</t>
        </is>
      </c>
      <c r="B35" s="145" t="inlineStr">
        <is>
          <t>083820110000022</t>
        </is>
      </c>
      <c r="C35" s="153" t="n"/>
      <c r="D35" s="94" t="n"/>
      <c r="E35" s="94" t="n"/>
      <c r="F35" s="94" t="n"/>
      <c r="G35" s="94" t="n"/>
    </row>
    <row r="36">
      <c r="A36" s="94" t="n"/>
      <c r="B36" s="94" t="n"/>
      <c r="C36" s="153" t="n"/>
      <c r="D36" s="94" t="n"/>
      <c r="E36" s="94" t="n"/>
      <c r="F36" s="94" t="n"/>
      <c r="G36" s="94" t="n"/>
    </row>
    <row r="37">
      <c r="A37" s="94" t="n"/>
      <c r="B37" s="94" t="n"/>
      <c r="C37" s="153" t="n"/>
      <c r="D37" s="94" t="n"/>
      <c r="E37" s="94" t="n"/>
      <c r="F37" s="94" t="n"/>
      <c r="G37" s="94" t="n"/>
    </row>
    <row r="38">
      <c r="A38" s="94" t="n"/>
      <c r="B38" s="94" t="n"/>
      <c r="C38" s="153" t="n"/>
      <c r="D38" s="94" t="n"/>
      <c r="E38" s="94" t="n"/>
      <c r="F38" s="94" t="n"/>
      <c r="G38" s="94" t="n"/>
    </row>
    <row r="39">
      <c r="A39" s="94" t="n"/>
      <c r="B39" s="94" t="n"/>
      <c r="C39" s="153" t="n"/>
      <c r="D39" s="94" t="n"/>
      <c r="E39" s="94" t="n"/>
      <c r="F39" s="94" t="n"/>
      <c r="G39" s="94" t="n"/>
    </row>
    <row r="40">
      <c r="A40" s="94" t="n"/>
      <c r="B40" s="94" t="n"/>
      <c r="C40" s="153" t="n"/>
      <c r="D40" s="94" t="n"/>
      <c r="E40" s="94" t="n"/>
      <c r="F40" s="94" t="n"/>
      <c r="G40" s="94" t="n"/>
    </row>
    <row r="41">
      <c r="A41" s="94" t="n"/>
      <c r="B41" s="94" t="n"/>
      <c r="C41" s="153" t="n"/>
      <c r="D41" s="94" t="n"/>
      <c r="E41" s="94" t="n"/>
      <c r="F41" s="94" t="n"/>
      <c r="G41" s="94" t="n"/>
    </row>
    <row r="42">
      <c r="A42" s="147" t="inlineStr">
        <is>
          <t>If you have any questions about this price quote, please contact</t>
        </is>
      </c>
      <c r="B42" s="94" t="n"/>
      <c r="C42" s="94" t="n"/>
      <c r="D42" s="94" t="n"/>
      <c r="E42" s="94" t="n"/>
      <c r="F42" s="94" t="n"/>
      <c r="G42" s="94" t="n"/>
    </row>
    <row r="43">
      <c r="A43" s="148" t="inlineStr">
        <is>
          <t>Vivek Zope, Phone: 9766183834 E-mail: vivek.zope@beforth.in</t>
        </is>
      </c>
      <c r="B43" s="93" t="n"/>
      <c r="C43" s="93" t="n"/>
      <c r="D43" s="93" t="n"/>
      <c r="E43" s="93" t="n"/>
      <c r="F43" s="94" t="n"/>
      <c r="G43" s="94" t="n"/>
    </row>
    <row r="44" ht="16.2" customFormat="1" customHeight="1" s="90">
      <c r="A44" s="149" t="inlineStr">
        <is>
          <t>Thank You For Your Business!</t>
        </is>
      </c>
      <c r="B44" s="150" t="n"/>
      <c r="C44" s="150" t="n"/>
      <c r="D44" s="150" t="n"/>
      <c r="E44" s="150" t="n"/>
      <c r="F44" s="94" t="n"/>
      <c r="G44" s="94" t="n"/>
    </row>
  </sheetData>
  <mergeCells count="12">
    <mergeCell ref="A26:B26"/>
    <mergeCell ref="A21:B21"/>
    <mergeCell ref="A24:B24"/>
    <mergeCell ref="A43:E43"/>
    <mergeCell ref="A25:B25"/>
    <mergeCell ref="D1:E1"/>
    <mergeCell ref="A42:E42"/>
    <mergeCell ref="A1:B1"/>
    <mergeCell ref="A23:B23"/>
    <mergeCell ref="A44:E44"/>
    <mergeCell ref="A27:B27"/>
    <mergeCell ref="A31:B31"/>
  </mergeCells>
  <conditionalFormatting sqref="A16:A19">
    <cfRule type="expression" priority="3" dxfId="0">
      <formula>MOD(ROW(),2)=1</formula>
    </cfRule>
  </conditionalFormatting>
  <conditionalFormatting sqref="B15:B19">
    <cfRule type="expression" priority="2" dxfId="0">
      <formula>MOD(ROW(),2)=1</formula>
    </cfRule>
  </conditionalFormatting>
  <conditionalFormatting sqref="C15:D19">
    <cfRule type="expression" priority="4" dxfId="0" stopIfTrue="1">
      <formula>MOD(ROW(),2)=1</formula>
    </cfRule>
  </conditionalFormatting>
  <conditionalFormatting sqref="E15:E19">
    <cfRule type="expression" priority="1" dxfId="0">
      <formula>MOD(ROW(),2)=1</formula>
    </cfRule>
  </conditionalFormatting>
  <dataValidations count="1">
    <dataValidation sqref="D15:D19" showDropDown="0" showInputMessage="0" showErrorMessage="0" allowBlank="1" error="Type x to mark this line as taxable, or leave it empty." type="list">
      <formula1>"x"</formula1>
    </dataValidation>
  </dataValidations>
  <printOptions horizontalCentered="1"/>
  <pageMargins left="0.5" right="0.5" top="0.75" bottom="0.75" header="0.3" footer="0.3"/>
  <pageSetup orientation="portrait" paperSize="9" fitToHeight="1" fitToWidth="1" horizontalDpi="203" verticalDpi="203"/>
  <headerFooter>
    <oddHeader/>
    <oddFooter>&amp;C&amp;8 &amp;K5F6571BeForth  ·  Nashik, Maharashtra  ·  beforth.in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9"/>
  <sheetViews>
    <sheetView showGridLines="0" workbookViewId="0">
      <selection activeCell="A1" sqref="A1"/>
    </sheetView>
  </sheetViews>
  <sheetFormatPr baseColWidth="8" defaultColWidth="9.109375" defaultRowHeight="14.4"/>
  <cols>
    <col width="47.21875" customWidth="1" style="90" min="1" max="1"/>
    <col width="21.6640625" customWidth="1" style="91" min="2" max="2"/>
    <col width="15.33203125" bestFit="1" customWidth="1" style="90" min="3" max="3"/>
    <col width="16.109375" bestFit="1" customWidth="1" style="90" min="4" max="4"/>
    <col width="14.88671875" customWidth="1" style="90" min="5" max="5"/>
    <col width="9.109375" customWidth="1" style="90" min="6" max="6"/>
    <col width="9.109375" customWidth="1" style="90" min="7" max="7"/>
    <col width="13.77734375" customWidth="1" style="90" min="8" max="8"/>
    <col width="9.109375" customWidth="1" style="90" min="9" max="16384"/>
  </cols>
  <sheetData>
    <row r="1" ht="42" customFormat="1" customHeight="1" s="90">
      <c r="A1" s="92" t="inlineStr">
        <is>
          <t xml:space="preserve">      BeForth</t>
        </is>
      </c>
      <c r="B1" s="93" t="n"/>
      <c r="C1" s="94" t="n"/>
      <c r="D1" s="95" t="inlineStr">
        <is>
          <t>QUOTE</t>
        </is>
      </c>
      <c r="E1" s="96" t="n"/>
      <c r="F1" s="94" t="n"/>
      <c r="G1" s="94" t="n"/>
    </row>
    <row r="2" customFormat="1" s="97">
      <c r="A2" s="98" t="inlineStr">
        <is>
          <t>Nashik - 422008</t>
        </is>
      </c>
      <c r="B2" s="99" t="n"/>
      <c r="C2" s="94" t="n"/>
      <c r="D2" s="94" t="n"/>
      <c r="E2" s="94" t="n"/>
      <c r="F2" s="94" t="n"/>
      <c r="G2" s="94" t="n"/>
    </row>
    <row r="3" customFormat="1" s="97">
      <c r="A3" s="98" t="inlineStr">
        <is>
          <t>Phone: 9766183834</t>
        </is>
      </c>
      <c r="B3" s="100" t="n"/>
      <c r="C3" s="94" t="n"/>
      <c r="D3" s="101" t="inlineStr">
        <is>
          <t>DATE</t>
        </is>
      </c>
      <c r="E3" s="172" t="n">
        <v>46314</v>
      </c>
      <c r="F3" s="94" t="n"/>
      <c r="G3" s="94" t="n"/>
    </row>
    <row r="4" customFormat="1" s="97">
      <c r="A4" s="98" t="inlineStr">
        <is>
          <t>Prepared by: Vivek Chandrashekhar Zope</t>
        </is>
      </c>
      <c r="B4" s="100" t="n"/>
      <c r="C4" s="94" t="n"/>
      <c r="D4" s="101" t="inlineStr">
        <is>
          <t>QUOTE #</t>
        </is>
      </c>
      <c r="E4" s="103" t="inlineStr">
        <is>
          <t>B-YYYY-NNNN</t>
        </is>
      </c>
      <c r="F4" s="94" t="n"/>
      <c r="G4" s="94" t="n"/>
    </row>
    <row r="5" customFormat="1" s="97">
      <c r="A5" s="94" t="n"/>
      <c r="B5" s="100" t="n"/>
      <c r="C5" s="94" t="n"/>
      <c r="D5" s="101" t="inlineStr">
        <is>
          <t>VALID UNTIL</t>
        </is>
      </c>
      <c r="E5" s="104">
        <f>E3+10</f>
        <v/>
      </c>
      <c r="F5" s="94" t="n"/>
      <c r="G5" s="94" t="n"/>
    </row>
    <row r="6" customFormat="1" s="97">
      <c r="A6" s="94" t="n"/>
      <c r="B6" s="100" t="n"/>
      <c r="C6" s="94" t="n"/>
      <c r="D6" s="94" t="n"/>
      <c r="E6" s="94" t="n"/>
      <c r="F6" s="94" t="n"/>
      <c r="G6" s="94" t="n"/>
    </row>
    <row r="7" customFormat="1" s="97">
      <c r="A7" s="105" t="n"/>
      <c r="B7" s="106" t="n"/>
      <c r="C7" s="105" t="n"/>
      <c r="D7" s="105" t="n"/>
      <c r="E7" s="105" t="n"/>
      <c r="F7" s="94" t="n"/>
      <c r="G7" s="94" t="n"/>
    </row>
    <row r="8" customFormat="1" s="97">
      <c r="A8" s="94" t="n"/>
      <c r="B8" s="100" t="n"/>
      <c r="C8" s="94" t="n"/>
      <c r="D8" s="94" t="n"/>
      <c r="E8" s="94" t="n"/>
      <c r="F8" s="94" t="n"/>
      <c r="G8" s="94" t="n"/>
    </row>
    <row r="9" ht="18" customFormat="1" customHeight="1" s="97">
      <c r="A9" s="107" t="inlineStr">
        <is>
          <t>CUSTOMER</t>
        </is>
      </c>
      <c r="B9" s="108" t="n"/>
      <c r="C9" s="94" t="n"/>
      <c r="D9" s="94" t="n"/>
      <c r="E9" s="94" t="n"/>
      <c r="F9" s="94" t="n"/>
      <c r="G9" s="94" t="n"/>
    </row>
    <row r="10" customFormat="1" s="97">
      <c r="A10" s="173" t="inlineStr">
        <is>
          <t>[Customer name]</t>
        </is>
      </c>
      <c r="B10" s="100" t="n"/>
      <c r="C10" s="110" t="n"/>
      <c r="D10" s="110" t="n"/>
      <c r="E10" s="110" t="n"/>
      <c r="F10" s="94" t="n"/>
      <c r="G10" s="94" t="n"/>
    </row>
    <row r="11" customFormat="1" s="97">
      <c r="A11" s="174" t="inlineStr">
        <is>
          <t>[Address]</t>
        </is>
      </c>
      <c r="B11" s="100" t="n"/>
      <c r="C11" s="110" t="n"/>
      <c r="D11" s="110" t="n"/>
      <c r="E11" s="110" t="n"/>
      <c r="F11" s="94" t="n"/>
      <c r="G11" s="94" t="n"/>
    </row>
    <row r="12" customFormat="1" s="97">
      <c r="A12" s="94" t="n"/>
      <c r="B12" s="100" t="n"/>
      <c r="C12" s="110" t="n"/>
      <c r="D12" s="110" t="n"/>
      <c r="E12" s="110" t="n"/>
      <c r="F12" s="94" t="n"/>
      <c r="G12" s="94" t="n"/>
    </row>
    <row r="13" customFormat="1" s="97">
      <c r="A13" s="94" t="n"/>
      <c r="B13" s="100" t="n"/>
      <c r="C13" s="110" t="n"/>
      <c r="D13" s="110" t="n"/>
      <c r="E13" s="110" t="n"/>
      <c r="F13" s="94" t="n"/>
      <c r="G13" s="94" t="n"/>
    </row>
    <row r="14" customFormat="1" s="97">
      <c r="A14" s="110" t="n"/>
      <c r="B14" s="100" t="n"/>
      <c r="C14" s="110" t="n"/>
      <c r="D14" s="110" t="n"/>
      <c r="E14" s="110" t="n"/>
      <c r="F14" s="94" t="n"/>
      <c r="G14" s="94" t="n"/>
    </row>
    <row r="15" ht="18" customFormat="1" customHeight="1" s="97">
      <c r="A15" s="112" t="inlineStr">
        <is>
          <t>DESCRIPTION</t>
        </is>
      </c>
      <c r="B15" s="113" t="inlineStr">
        <is>
          <t>PRICE</t>
        </is>
      </c>
      <c r="C15" s="114" t="inlineStr">
        <is>
          <t>DISCOUNT</t>
        </is>
      </c>
      <c r="D15" s="114" t="inlineStr">
        <is>
          <t>TAX</t>
        </is>
      </c>
      <c r="E15" s="114" t="inlineStr">
        <is>
          <t>AMOUNT</t>
        </is>
      </c>
      <c r="F15" s="94" t="n"/>
      <c r="G15" s="94" t="n"/>
    </row>
    <row r="16" customFormat="1" s="97">
      <c r="A16" s="175" t="inlineStr">
        <is>
          <t>[Item or module]</t>
        </is>
      </c>
      <c r="B16" s="116" t="n"/>
      <c r="C16" s="116" t="n"/>
      <c r="D16" s="117" t="n"/>
      <c r="E16" s="118" t="n"/>
      <c r="F16" s="94" t="n"/>
      <c r="G16" s="94" t="n"/>
    </row>
    <row r="17" customFormat="1" s="97">
      <c r="A17" s="115" t="n"/>
      <c r="B17" s="116" t="n"/>
      <c r="C17" s="116" t="n"/>
      <c r="D17" s="117" t="n"/>
      <c r="E17" s="118" t="n"/>
      <c r="F17" s="94" t="n"/>
      <c r="G17" s="94" t="n"/>
    </row>
    <row r="18" customFormat="1" s="97">
      <c r="A18" s="119" t="n"/>
      <c r="B18" s="116" t="n"/>
      <c r="C18" s="116" t="n"/>
      <c r="D18" s="117" t="n"/>
      <c r="E18" s="118" t="n"/>
      <c r="F18" s="94" t="n"/>
      <c r="G18" s="94" t="n"/>
    </row>
    <row r="19" customFormat="1" s="97">
      <c r="A19" s="119" t="n"/>
      <c r="B19" s="116" t="n"/>
      <c r="C19" s="116" t="n"/>
      <c r="D19" s="117" t="n"/>
      <c r="E19" s="118" t="n"/>
      <c r="F19" s="94" t="n"/>
      <c r="G19" s="94" t="n"/>
    </row>
    <row r="20" customFormat="1" s="97">
      <c r="A20" s="120" t="n"/>
      <c r="B20" s="116" t="n"/>
      <c r="C20" s="116" t="n"/>
      <c r="D20" s="117" t="n"/>
      <c r="E20" s="118" t="n"/>
      <c r="F20" s="94" t="n"/>
      <c r="G20" s="94" t="n"/>
    </row>
    <row r="21" customFormat="1" s="97">
      <c r="A21" s="121" t="n"/>
      <c r="B21" s="116" t="n"/>
      <c r="C21" s="116" t="n"/>
      <c r="D21" s="117" t="n"/>
      <c r="E21" s="118" t="n"/>
      <c r="F21" s="94" t="n"/>
      <c r="G21" s="94" t="n"/>
    </row>
    <row r="22" customFormat="1" s="97">
      <c r="A22" s="94" t="n"/>
      <c r="B22" s="100" t="n"/>
      <c r="C22" s="122" t="inlineStr">
        <is>
          <t>[42]</t>
        </is>
      </c>
      <c r="D22" s="123" t="inlineStr">
        <is>
          <t>Subtotal</t>
        </is>
      </c>
      <c r="E22" s="124">
        <f>SUM(E16:E21)</f>
        <v/>
      </c>
      <c r="F22" s="94" t="n"/>
      <c r="G22" s="110" t="inlineStr">
        <is>
          <t> </t>
        </is>
      </c>
    </row>
    <row r="23" customFormat="1" s="97">
      <c r="A23" s="94" t="n"/>
      <c r="B23" s="100" t="n"/>
      <c r="C23" s="125" t="n"/>
      <c r="D23" s="123" t="inlineStr">
        <is>
          <t>Discount</t>
        </is>
      </c>
      <c r="E23" s="126" t="n"/>
      <c r="F23" s="94" t="n"/>
      <c r="G23" s="94" t="n"/>
    </row>
    <row r="24" ht="16.2" customFormat="1" customHeight="1" s="97">
      <c r="A24" s="127" t="n"/>
      <c r="B24" s="127" t="n"/>
      <c r="C24" s="125" t="n"/>
      <c r="D24" s="123" t="inlineStr">
        <is>
          <t>Taxable</t>
        </is>
      </c>
      <c r="E24" s="128">
        <f>SUMIF(D16:D21,"=x",E16:E21)</f>
        <v/>
      </c>
      <c r="F24" s="94" t="n"/>
      <c r="G24" s="94" t="n"/>
    </row>
    <row r="25" customFormat="1" s="97">
      <c r="A25" s="129" t="n"/>
      <c r="B25" s="129" t="n"/>
      <c r="C25" s="125" t="n"/>
      <c r="D25" s="123" t="inlineStr">
        <is>
          <t>Tax rate</t>
        </is>
      </c>
      <c r="E25" s="128">
        <f>SUMIF(D16:D22,"=x",E16:E22)</f>
        <v/>
      </c>
      <c r="F25" s="94" t="n"/>
      <c r="G25" s="94" t="n"/>
    </row>
    <row r="26" customFormat="1" s="97">
      <c r="A26" s="130" t="n"/>
      <c r="B26" s="130" t="n"/>
      <c r="C26" s="125" t="n"/>
      <c r="D26" s="123" t="inlineStr">
        <is>
          <t>Tax due</t>
        </is>
      </c>
      <c r="E26" s="128">
        <f>ROUND(E24*E25,2)</f>
        <v/>
      </c>
      <c r="F26" s="94" t="n"/>
      <c r="G26" s="94" t="n"/>
    </row>
    <row r="27" ht="15" customFormat="1" customHeight="1" s="97" thickBot="1">
      <c r="A27" s="94" t="n"/>
      <c r="B27" s="94" t="n"/>
      <c r="C27" s="125" t="n"/>
      <c r="D27" s="123" t="inlineStr">
        <is>
          <t>Other</t>
        </is>
      </c>
      <c r="E27" s="131" t="n">
        <v>0</v>
      </c>
      <c r="F27" s="94" t="n"/>
      <c r="G27" s="94" t="n"/>
    </row>
    <row r="28" ht="15" customFormat="1" customHeight="1" s="132" thickTop="1">
      <c r="A28" s="94" t="n"/>
      <c r="B28" s="94" t="n"/>
      <c r="C28" s="133" t="n"/>
      <c r="D28" s="134" t="inlineStr">
        <is>
          <t>TOTAL</t>
        </is>
      </c>
      <c r="E28" s="135">
        <f>E22-(E22*E23)+N(E26)+N(E27)</f>
        <v/>
      </c>
      <c r="F28" s="94" t="n"/>
      <c r="G28" s="94" t="n"/>
    </row>
    <row r="29" customFormat="1" s="132">
      <c r="A29" s="94" t="n"/>
      <c r="B29" s="94" t="n"/>
      <c r="C29" s="133" t="n"/>
      <c r="D29" s="136" t="n"/>
      <c r="E29" s="137" t="n"/>
      <c r="F29" s="94" t="n"/>
      <c r="G29" s="94" t="n"/>
    </row>
    <row r="30" customFormat="1" s="97">
      <c r="A30" s="94" t="n"/>
      <c r="B30" s="94" t="n"/>
      <c r="C30" s="125" t="n"/>
      <c r="D30" s="138" t="n"/>
      <c r="E30" s="139" t="n"/>
      <c r="F30" s="94" t="n"/>
      <c r="G30" s="94" t="n"/>
    </row>
    <row r="31" customFormat="1" s="97">
      <c r="A31" s="107" t="inlineStr">
        <is>
          <t>Note:</t>
        </is>
      </c>
      <c r="B31" s="140" t="n"/>
      <c r="C31" s="94" t="n"/>
      <c r="D31" s="94" t="n"/>
      <c r="E31" s="94" t="n"/>
      <c r="F31" s="94" t="n"/>
      <c r="G31" s="94" t="n"/>
    </row>
    <row r="32">
      <c r="A32" s="141" t="inlineStr">
        <is>
          <t>1. [Payment terms]</t>
        </is>
      </c>
      <c r="B32" s="94" t="n"/>
      <c r="C32" s="94" t="n"/>
      <c r="D32" s="94" t="n"/>
      <c r="E32" s="94" t="n"/>
      <c r="F32" s="94" t="n"/>
      <c r="G32" s="94" t="n"/>
    </row>
    <row r="33">
      <c r="A33" s="142" t="inlineStr">
        <is>
          <t>2. [Support and maintenance terms]</t>
        </is>
      </c>
      <c r="B33" s="93" t="n"/>
      <c r="C33" s="94" t="n"/>
      <c r="D33" s="94" t="n"/>
      <c r="E33" s="94" t="n"/>
      <c r="F33" s="94" t="n"/>
      <c r="G33" s="94" t="n"/>
    </row>
    <row r="34">
      <c r="A34" s="142" t="inlineStr">
        <is>
          <t>3. [Anything excluded from this price]</t>
        </is>
      </c>
      <c r="B34" s="93" t="n"/>
      <c r="C34" s="94" t="n"/>
      <c r="D34" s="94" t="n"/>
      <c r="E34" s="94" t="n"/>
      <c r="F34" s="94" t="n"/>
      <c r="G34" s="94" t="n"/>
    </row>
    <row r="35" ht="29.4" customFormat="1" customHeight="1" s="90">
      <c r="A35" s="141" t="inlineStr">
        <is>
          <t>4. [Optional extra term]</t>
        </is>
      </c>
      <c r="B35" s="94" t="n"/>
      <c r="C35" s="94" t="n"/>
      <c r="D35" s="94" t="n"/>
      <c r="E35" s="94" t="n"/>
      <c r="F35" s="94" t="n"/>
      <c r="G35" s="94" t="n"/>
    </row>
    <row r="36" ht="18" customFormat="1" customHeight="1" s="90">
      <c r="A36" s="143" t="n"/>
      <c r="B36" s="94" t="n"/>
      <c r="C36" s="94" t="n"/>
      <c r="D36" s="94" t="n"/>
      <c r="E36" s="94" t="n"/>
      <c r="F36" s="94" t="n"/>
      <c r="G36" s="94" t="n"/>
    </row>
    <row r="37">
      <c r="A37" s="94" t="n"/>
      <c r="B37" s="94" t="n"/>
      <c r="C37" s="94" t="n"/>
      <c r="D37" s="94" t="n"/>
      <c r="E37" s="94" t="n"/>
      <c r="F37" s="94" t="n"/>
      <c r="G37" s="94" t="n"/>
    </row>
    <row r="38">
      <c r="A38" s="107" t="inlineStr">
        <is>
          <t>Bank Details</t>
        </is>
      </c>
      <c r="B38" s="140" t="n"/>
      <c r="C38" s="94" t="n"/>
      <c r="D38" s="94" t="n"/>
      <c r="E38" s="94" t="n"/>
      <c r="F38" s="94" t="n"/>
      <c r="G38" s="94" t="n"/>
    </row>
    <row r="39">
      <c r="A39" s="144" t="inlineStr">
        <is>
          <t>Name</t>
        </is>
      </c>
      <c r="B39" s="145" t="inlineStr">
        <is>
          <t>Beforth</t>
        </is>
      </c>
      <c r="C39" s="94" t="n"/>
      <c r="D39" s="94" t="n"/>
      <c r="E39" s="94" t="n"/>
      <c r="F39" s="94" t="n"/>
      <c r="G39" s="94" t="n"/>
    </row>
    <row r="40">
      <c r="A40" s="146" t="inlineStr">
        <is>
          <t>Bank Name</t>
        </is>
      </c>
      <c r="B40" s="145" t="inlineStr">
        <is>
          <t xml:space="preserve">BOI </t>
        </is>
      </c>
      <c r="C40" s="94" t="n"/>
      <c r="D40" s="94" t="n"/>
      <c r="E40" s="94" t="n"/>
      <c r="F40" s="94" t="n"/>
      <c r="G40" s="94" t="n"/>
    </row>
    <row r="41">
      <c r="A41" s="146" t="inlineStr">
        <is>
          <t>IFSC No.</t>
        </is>
      </c>
      <c r="B41" s="145" t="inlineStr">
        <is>
          <t>BKID0000838</t>
        </is>
      </c>
      <c r="C41" s="94" t="n"/>
      <c r="D41" s="94" t="n"/>
      <c r="E41" s="94" t="n"/>
      <c r="F41" s="94" t="n"/>
      <c r="G41" s="94" t="n"/>
    </row>
    <row r="42">
      <c r="A42" s="146" t="inlineStr">
        <is>
          <t>Account No.</t>
        </is>
      </c>
      <c r="B42" s="145" t="inlineStr">
        <is>
          <t>083820110000022</t>
        </is>
      </c>
      <c r="C42" s="94" t="n"/>
      <c r="D42" s="94" t="n"/>
      <c r="E42" s="94" t="n"/>
      <c r="F42" s="94" t="n"/>
      <c r="G42" s="94" t="n"/>
    </row>
    <row r="43">
      <c r="A43" s="94" t="n"/>
      <c r="B43" s="94" t="n"/>
      <c r="C43" s="94" t="n"/>
      <c r="D43" s="94" t="n"/>
      <c r="E43" s="94" t="n"/>
      <c r="F43" s="94" t="n"/>
      <c r="G43" s="94" t="n"/>
    </row>
    <row r="44">
      <c r="A44" s="94" t="n"/>
      <c r="B44" s="94" t="n"/>
      <c r="C44" s="94" t="n"/>
      <c r="D44" s="94" t="n"/>
      <c r="E44" s="94" t="n"/>
      <c r="F44" s="94" t="n"/>
      <c r="G44" s="94" t="n"/>
    </row>
    <row r="45">
      <c r="A45" s="94" t="n"/>
      <c r="B45" s="94" t="n"/>
      <c r="C45" s="94" t="n"/>
      <c r="D45" s="94" t="n"/>
      <c r="E45" s="94" t="n"/>
      <c r="F45" s="94" t="n"/>
      <c r="G45" s="94" t="n"/>
    </row>
    <row r="46">
      <c r="A46" s="147" t="inlineStr">
        <is>
          <t>If you have any questions about this price quote, please contact</t>
        </is>
      </c>
      <c r="B46" s="94" t="n"/>
      <c r="C46" s="94" t="n"/>
      <c r="D46" s="94" t="n"/>
      <c r="E46" s="94" t="n"/>
      <c r="F46" s="94" t="n"/>
      <c r="G46" s="94" t="n"/>
    </row>
    <row r="47" ht="16.2" customFormat="1" customHeight="1" s="90">
      <c r="A47" s="148" t="inlineStr">
        <is>
          <t>Vivek Zope, Phone: 9766183834 E-mail: vivek.zope@beforth.in</t>
        </is>
      </c>
      <c r="B47" s="93" t="n"/>
      <c r="C47" s="93" t="n"/>
      <c r="D47" s="93" t="n"/>
      <c r="E47" s="93" t="n"/>
      <c r="F47" s="94" t="n"/>
      <c r="G47" s="94" t="n"/>
    </row>
    <row r="48" ht="16.2" customFormat="1" customHeight="1" s="90">
      <c r="A48" s="149" t="inlineStr">
        <is>
          <t>Thank You For Your Business!</t>
        </is>
      </c>
      <c r="B48" s="150" t="n"/>
      <c r="C48" s="150" t="n"/>
      <c r="D48" s="150" t="n"/>
      <c r="E48" s="150" t="n"/>
      <c r="F48" s="94" t="n"/>
      <c r="G48" s="94" t="n"/>
    </row>
    <row r="49">
      <c r="A49" s="151" t="n"/>
      <c r="B49" s="93" t="n"/>
      <c r="C49" s="94" t="n"/>
      <c r="D49" s="94" t="n"/>
      <c r="E49" s="94" t="n"/>
      <c r="F49" s="94" t="n"/>
      <c r="G49" s="94" t="n"/>
    </row>
    <row r="58" ht="16.2" customFormat="1" customHeight="1" s="90"/>
  </sheetData>
  <mergeCells count="13">
    <mergeCell ref="A38:B38"/>
    <mergeCell ref="A48:E48"/>
    <mergeCell ref="D1:E1"/>
    <mergeCell ref="A33:B33"/>
    <mergeCell ref="A49:B49"/>
    <mergeCell ref="A32:B32"/>
    <mergeCell ref="A47:E47"/>
    <mergeCell ref="A36:B36"/>
    <mergeCell ref="A46:E46"/>
    <mergeCell ref="A1:B1"/>
    <mergeCell ref="A31:B31"/>
    <mergeCell ref="A34:B34"/>
    <mergeCell ref="A35:B35"/>
  </mergeCells>
  <dataValidations count="1">
    <dataValidation sqref="D16:D21" showDropDown="0" showInputMessage="0" showErrorMessage="0" allowBlank="1" type="list">
      <formula1>"x"</formula1>
    </dataValidation>
  </dataValidations>
  <printOptions horizontalCentered="1"/>
  <pageMargins left="0.5" right="0.5" top="0.5" bottom="0.5" header="0.5" footer="0.25"/>
  <pageSetup orientation="portrait" paperSize="9" scale="88" fitToHeight="1" fitToWidth="1"/>
  <headerFooter>
    <oddHeader/>
    <oddFooter>&amp;CBeForth  ·  Nashik, Maharashtra  ·  beforth.in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Vertex42.com</dc:creator>
  <dc:title>Price Quote Template</dc:title>
  <dc:description>(c) 2010-2014 Vertex42 LLC. All Rights Reserved.</dc:description>
  <dcterms:created xsi:type="dcterms:W3CDTF">2004-08-16T18:44:14Z</dcterms:created>
  <dcterms:modified xsi:type="dcterms:W3CDTF">2026-10-19T05:28:08Z</dcterms:modified>
  <cp:lastModifiedBy>Vivek Zope</cp:lastModifiedBy>
  <cp:lastPrinted>2026-09-15T09:32:27Z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pyright" fmtid="{D5CDD505-2E9C-101B-9397-08002B2CF9AE}" pid="2">
    <vt:lpwstr>2010-2014 Vertex42 LLC</vt:lpwstr>
  </property>
  <property name="Source" fmtid="{D5CDD505-2E9C-101B-9397-08002B2CF9AE}" pid="3">
    <vt:lpwstr>https://www.vertex42.com/ExcelTemplates/quote-template.html</vt:lpwstr>
  </property>
  <property name="Version" fmtid="{D5CDD505-2E9C-101B-9397-08002B2CF9AE}" pid="4">
    <vt:lpwstr>1.2.2</vt:lpwstr>
  </property>
</Properties>
</file>